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708" tabRatio="500" firstSheet="8" activeTab="8"/>
  </bookViews>
  <sheets>
    <sheet name="BIA" sheetId="1" r:id="rId1"/>
    <sheet name="PL1_Actors" sheetId="2" r:id="rId2"/>
    <sheet name="PL2_UseCase" sheetId="3" r:id="rId3"/>
    <sheet name="PL3_TAW" sheetId="4" r:id="rId4"/>
    <sheet name="PL4_TBF" sheetId="5" r:id="rId5"/>
    <sheet name="PL5_TCF" sheetId="6" r:id="rId6"/>
    <sheet name="PL6_ECF" sheetId="7" r:id="rId7"/>
    <sheet name="PL7_Luong" sheetId="8" r:id="rId8"/>
    <sheet name="PL8_ChiPhi_G" sheetId="9" r:id="rId9"/>
    <sheet name="TONG_HOP" sheetId="10" r:id="rId10"/>
    <sheet name="DT_KiemThuCN" sheetId="11" r:id="rId11"/>
    <sheet name="DT_KiemThuATTT" sheetId="12" r:id="rId12"/>
    <sheet name="TONG_DU_TOAN"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<sst xmlns="http://schemas.openxmlformats.org/spreadsheetml/2006/main" count="692" uniqueCount="563">
  <si>
    <t>DỰ TOÁN KINH TẾ KỸ THUẬT</t>
  </si>
  <si>
    <t>HỆ THỐNG QUẢN TRỊ CÔNG VIỆC VÀ KPI NỘI BỘ</t>
  </si>
  <si>
    <t>TÍCH HỢP MICROSOFT TEAMS (TEAMSWORK)</t>
  </si>
  <si>
    <t>Tên dự án:</t>
  </si>
  <si>
    <t>Hệ thống Quản trị Công việc và KPI Nội bộ tích hợp Microsoft Teams (TeamsWork)</t>
  </si>
  <si>
    <t>Chủ đầu tư:</t>
  </si>
  <si>
    <t>Trường Đại học Bách Khoa – Đại học Đà Nẵng</t>
  </si>
  <si>
    <t>Địa điểm:</t>
  </si>
  <si>
    <t>54 Nguyễn Lương Bằng, Hoà Khánh Bắc, Liên Chiểu, Đà Nẵng</t>
  </si>
  <si>
    <t>Thời gian thực hiện:</t>
  </si>
  <si>
    <t>Năm 2026</t>
  </si>
  <si>
    <t>Tổng dự toán mục tiêu:</t>
  </si>
  <si>
    <t>100.000.000 VNĐ (Một trăm triệu đồng)</t>
  </si>
  <si>
    <t>Phương pháp tính:</t>
  </si>
  <si>
    <t>UCP – Use Case Points (Theo QĐ 671/QĐ-BTTTT, QĐ 320/QĐ-BKHCN, NĐ 45/2026/NĐ-CP)</t>
  </si>
  <si>
    <t>Quy mô hệ thống:</t>
  </si>
  <si>
    <t>513 User Stories / 10 Epics / 2 Phase / 8 Sprint</t>
  </si>
  <si>
    <t>Nhân sự dự án:</t>
  </si>
  <si>
    <t>3 kỹ sư bán thời gian (PM, Tech Lead, QA Lead) + 15 AI Agents hỗ trợ</t>
  </si>
  <si>
    <t>Lập dự toán:</t>
  </si>
  <si>
    <t>Ngô Văn Công – Project Manager</t>
  </si>
  <si>
    <t>Đà Nẵng, năm 2026</t>
  </si>
  <si>
    <t>PHỤ LỤC I: DANH SÁCH TÁC NHÂN (ACTORS) – DỰ ÁN TEAMSWORK</t>
  </si>
  <si>
    <t>STT</t>
  </si>
  <si>
    <t>Tên tác nhân</t>
  </si>
  <si>
    <t>Mô tả / Chức năng sử dụng</t>
  </si>
  <si>
    <t>Phân loại</t>
  </si>
  <si>
    <t>Trọng số</t>
  </si>
  <si>
    <t>Ghi chú</t>
  </si>
  <si>
    <t>Admin / IT Admin</t>
  </si>
  <si>
    <t>Quản trị toàn hệ thống: tạo/xóa tài khoản, phân quyền RBAC, cấu hình KPI, import danh sách nhân viên từ Azure AD, xem audit log, giám sát hiệu năng</t>
  </si>
  <si>
    <t>Phức tạp</t>
  </si>
  <si>
    <t>GUI nhiều module, quyền cao nhất</t>
  </si>
  <si>
    <t>Manager / Lãnh đạo</t>
  </si>
  <si>
    <t>Giao task cho nhân viên, theo dõi tiến độ Kanban, xem Dashboard KPI team, phê duyệt kết quả, nhận báo cáo tự động từ Bot</t>
  </si>
  <si>
    <t>GUI phức tạp, nhiều tính năng</t>
  </si>
  <si>
    <t>Nhân viên (Staff)</t>
  </si>
  <si>
    <t>Cập nhật trạng thái task (Kanban drag-drop), ghi nhận tiến độ, xem điểm KPI cá nhân, nhận thông báo nhắc việc từ Bot qua Teams</t>
  </si>
  <si>
    <t>GUI chính của hệ thống</t>
  </si>
  <si>
    <t>HR</t>
  </si>
  <si>
    <t>Xem toàn bộ báo cáo KPI tất cả nhân viên (12 tháng), so sánh, export Excel/PDF phục vụ tính lương thưởng</t>
  </si>
  <si>
    <t>Trung bình</t>
  </si>
  <si>
    <t>Chủ yếu xem/xuất báo cáo</t>
  </si>
  <si>
    <t>Hệ thống ngoài (Azure AD / MS Graph API / Bot Framework)</t>
  </si>
  <si>
    <t>Đồng bộ tài khoản &amp; cơ cấu tổ chức tự động, gửi Adaptive Card nhắc việc qua Teams Channel, tích hợp SSO Microsoft 365</t>
  </si>
  <si>
    <t>Đơn giản</t>
  </si>
  <si>
    <t>API/Hệ thống, không có GUI</t>
  </si>
  <si>
    <t>Ghi chú phân loại Actor theo QĐ 671/QĐ-BTTTT:</t>
  </si>
  <si>
    <t xml:space="preserve">  • Đơn giản (trọng số 1): Hệ thống bên ngoài, giao tiếp qua API đơn giản</t>
  </si>
  <si>
    <t xml:space="preserve">  • Trung bình (trọng số 2): Người dùng tương tác qua giao diện chuẩn, chức năng hạn chế</t>
  </si>
  <si>
    <t xml:space="preserve">  • Phức tạp (trọng số 3): Người dùng tương tác qua GUI phức tạp, nhiều module, nhiều quyền</t>
  </si>
  <si>
    <t>PHỤ LỤC II: DANH SÁCH USE CASE &amp; PHÂN LOẠI BMT – DỰ ÁN TEAMSWORK</t>
  </si>
  <si>
    <t>UC ID</t>
  </si>
  <si>
    <t>Tên Use Case</t>
  </si>
  <si>
    <t>Mô tả chức năng</t>
  </si>
  <si>
    <t>Epic</t>
  </si>
  <si>
    <t># US</t>
  </si>
  <si>
    <t>Phân loại BMT</t>
  </si>
  <si>
    <t>Phân loại độ phức tạp</t>
  </si>
  <si>
    <t>UC-01</t>
  </si>
  <si>
    <t>Quản lý định danh &amp; phân quyền người dùng</t>
  </si>
  <si>
    <t>SSO Azure AD, RBAC, tạo/sửa/xóa role, whitelist domain, 2FA</t>
  </si>
  <si>
    <t>E1: Auth &amp; User Mgmt</t>
  </si>
  <si>
    <t>T</t>
  </si>
  <si>
    <t>UC-02</t>
  </si>
  <si>
    <t>Quản lý danh mục cơ cấu tổ chức</t>
  </si>
  <si>
    <t>Cây phòng ban, import từ Excel/Azure AD, đồng bộ tự động hàng ngày</t>
  </si>
  <si>
    <t>E8: Admin &amp; Config</t>
  </si>
  <si>
    <t>M</t>
  </si>
  <si>
    <t>UC-03</t>
  </si>
  <si>
    <t>Quản lý cấu hình tính toán KPI</t>
  </si>
  <si>
    <t>Thiết lập công thức KPI, trọng số, ngưỡng điểm, chu kỳ đánh giá</t>
  </si>
  <si>
    <t>E3: KPI Management</t>
  </si>
  <si>
    <t>UC-04</t>
  </si>
  <si>
    <t>Quản lý hồ sơ tài liệu phần mềm</t>
  </si>
  <si>
    <t>Help center, FAQ, tài liệu hướng dẫn dạng markdown trong app</t>
  </si>
  <si>
    <t>B</t>
  </si>
  <si>
    <t>UC-05</t>
  </si>
  <si>
    <t>Ghi nhận log API &amp; audit trail</t>
  </si>
  <si>
    <t>Log toàn bộ hành động: actor, action, timestamp, IP; export CSV</t>
  </si>
  <si>
    <t>UC-06</t>
  </si>
  <si>
    <t>Quản lý nhật ký &amp; lịch sử hoạt động</t>
  </si>
  <si>
    <t>Lịch sử hoạt động hệ thống, alert bất thường, báo cáo audit tuần</t>
  </si>
  <si>
    <t>UC-07</t>
  </si>
  <si>
    <t>Quản lý bộ dữ liệu mẫu &amp; mock data</t>
  </si>
  <si>
    <t>Sinh dữ liệu mẫu 1000+ bản ghi logic cho demo và kiểm thử</t>
  </si>
  <si>
    <t>UC-08</t>
  </si>
  <si>
    <t>Cập nhật &amp; quản lý dữ liệu nghiệp vụ</t>
  </si>
  <si>
    <t>CRUD tiêu chí KPI, template task, nhóm người dùng, broadcast thông báo</t>
  </si>
  <si>
    <t>UC-09</t>
  </si>
  <si>
    <t>Quản lý nhiệm vụ &amp; công việc (Task Management)</t>
  </si>
  <si>
    <t>Tạo/sửa/xóa task, gán người, deadline, priority, attachment, comment</t>
  </si>
  <si>
    <t>E2: Task Management</t>
  </si>
  <si>
    <t>UC-10</t>
  </si>
  <si>
    <t>Điều phối công việc theo mô hình Kanban</t>
  </si>
  <si>
    <t>Drag-drop task giữa các cột (To Do/In Progress/Done), swimlane theo người/team</t>
  </si>
  <si>
    <t>UC-11</t>
  </si>
  <si>
    <t>Quản lý tiêu chí &amp; tính điểm KPI</t>
  </si>
  <si>
    <t>Tự động cộng/trừ điểm KPI khi task hoàn thành/trễ, xếp hạng, phân quyền xem theo phòng ban</t>
  </si>
  <si>
    <t>UC-12</t>
  </si>
  <si>
    <t>Hệ thống nhắc việc tự động (Bot)</t>
  </si>
  <si>
    <t>Bot gửi Adaptive Card nhắc deadline trước 24h, nhắc check-in tiến độ, broadcast thông báo hệ thống</t>
  </si>
  <si>
    <t>E4: Bot &amp; Notifications</t>
  </si>
  <si>
    <t>UC-13</t>
  </si>
  <si>
    <t>Dashboard hiệu suất tổng hợp</t>
  </si>
  <si>
    <t>Biểu đồ KPI realtime, ranking nhân viên, heat-map tiến độ, drill-down theo phòng ban/cá nhân</t>
  </si>
  <si>
    <t>E5: Reporting &amp; Analytics</t>
  </si>
  <si>
    <t>UC-14</t>
  </si>
  <si>
    <t>Thống kê, tổng hợp &amp; kết xuất báo cáo</t>
  </si>
  <si>
    <t>Báo cáo KPI định kỳ (tuần/tháng/quý), export Excel/PDF, biểu đồ trend 12 tháng</t>
  </si>
  <si>
    <t>UC-15</t>
  </si>
  <si>
    <t>Tương tác &amp; phân phối công việc liên đơn vị</t>
  </si>
  <si>
    <t>Giao task xuyên phòng ban, matrix permission theo project, theo dõi tiến độ cross-team</t>
  </si>
  <si>
    <t>E6: Project Management</t>
  </si>
  <si>
    <t>UC-16</t>
  </si>
  <si>
    <t>Tích hợp nền tảng Microsoft 365</t>
  </si>
  <si>
    <t>Teams Tab (Personal/Channel), SSO Microsoft 365, MS Graph API, Azure Key Vault, offline mode</t>
  </si>
  <si>
    <t>E7: Integration &amp; Platform</t>
  </si>
  <si>
    <t>UC-17</t>
  </si>
  <si>
    <t>Kiểm thử &amp; đảm bảo chất lượng</t>
  </si>
  <si>
    <t>Automation test API endpoint, UAT, kiểm thử bảo mật (VA), performance test</t>
  </si>
  <si>
    <t>E10: Testing &amp; QA</t>
  </si>
  <si>
    <t>TỔNG HỢP PHÂN LOẠI USE CASE</t>
  </si>
  <si>
    <t>Nhóm</t>
  </si>
  <si>
    <t>Mô tả</t>
  </si>
  <si>
    <t>Số UC</t>
  </si>
  <si>
    <t>Số US tương ứng</t>
  </si>
  <si>
    <t>Đơn giản (≤3 SP/task)</t>
  </si>
  <si>
    <t>5×1×1 = 5 điểm/UC</t>
  </si>
  <si>
    <t>Trung bình (5 SP/task)</t>
  </si>
  <si>
    <t>10×1.2 = 12 điểm/UC</t>
  </si>
  <si>
    <t>Phức tạp (≥8 SP/task)</t>
  </si>
  <si>
    <t>15×1.5 = 22.5 điểm/UC</t>
  </si>
  <si>
    <t>TỔNG</t>
  </si>
  <si>
    <t>17 Use Cases chính / 513 User Stories</t>
  </si>
  <si>
    <t>PHỤ LỤC III: TÍNH ĐIỂM TÁC NHÂN (TAW) – DỰ ÁN TEAMSWORK</t>
  </si>
  <si>
    <t>Loại Actor</t>
  </si>
  <si>
    <t>Số tác nhân</t>
  </si>
  <si>
    <t>Điểm</t>
  </si>
  <si>
    <t>Chi tiết</t>
  </si>
  <si>
    <t>Hệ thống ngoài (Azure AD, MS Graph API, Bot Framework)</t>
  </si>
  <si>
    <t>HR – giao diện chuẩn, chức năng xem &amp; export báo cáo</t>
  </si>
  <si>
    <t>Admin/IT Admin, Manager/Lãnh đạo, Nhân viên (GUI phức tạp)</t>
  </si>
  <si>
    <t>Cộng (1+2+3)</t>
  </si>
  <si>
    <t>Tổng số Actor: 5</t>
  </si>
  <si>
    <t>TAW = Tổng điểm tác nhân không hiệu chỉnh</t>
  </si>
  <si>
    <t>Công thức: Σ(Số Actor × Trọng số)</t>
  </si>
  <si>
    <t>Căn cứ: QĐ 671/QĐ-BTTTT ngày 26/04/2024 – Phụ lục phương pháp tính UCP</t>
  </si>
  <si>
    <t>TAW = Σ (Số lượng Actor theo từng loại × Trọng số tương ứng)</t>
  </si>
  <si>
    <t>PHỤ LỤC IV: TÍNH ĐIỂM USE CASE (TBF) – DỰ ÁN TEAMSWORK</t>
  </si>
  <si>
    <t>Loại UC</t>
  </si>
  <si>
    <t>Hệ số BMT</t>
  </si>
  <si>
    <t>B – Đơn giản</t>
  </si>
  <si>
    <t>UC-04, UC-06, UC-07 (tài liệu, log, mock data)</t>
  </si>
  <si>
    <t>B – Trung bình</t>
  </si>
  <si>
    <t>B – Phức tạp</t>
  </si>
  <si>
    <t>M – Đơn giản</t>
  </si>
  <si>
    <t>M – Trung bình</t>
  </si>
  <si>
    <t>UC-02, UC-05, UC-08, UC-17 (cơ cấu tổ chức, log API, dữ liệu nghiệp vụ, kiểm thử)</t>
  </si>
  <si>
    <t>M – Phức tạp</t>
  </si>
  <si>
    <t>T – Đơn giản</t>
  </si>
  <si>
    <t>T – Trung bình</t>
  </si>
  <si>
    <t>T – Phức tạp</t>
  </si>
  <si>
    <t>UC-01,03,09,10,11,12,13,14,15,16 (định danh, KPI, Task, Kanban, Bot, Dashboard, Báo cáo, Liên đơn vị, M365)</t>
  </si>
  <si>
    <t>Tổng 513 UC</t>
  </si>
  <si>
    <t>TBF</t>
  </si>
  <si>
    <t>Tổng điểm UC không hiệu chỉnh</t>
  </si>
  <si>
    <t>Trọng số theo QĐ 671: Đơn giản=5, Trung bình=10, Phức tạp=15</t>
  </si>
  <si>
    <t>Hệ số BMT (Business Management Type): B=1.0 (Basic), M=1.2 (Medium), T=1.5 (Transactional)</t>
  </si>
  <si>
    <t>PHỤ LỤC V: HỆ SỐ PHỨC TẠP KỸ THUẬT – CÔNG NGHỆ (TCF) – TEAMSWORK</t>
  </si>
  <si>
    <t>I. HỆ SỐ KỸ THUẬT – CÔNG NGHỆ (TFW)</t>
  </si>
  <si>
    <t>TT</t>
  </si>
  <si>
    <t>Hệ số kỹ thuật – công nghệ</t>
  </si>
  <si>
    <t>Trọng số (Wi)</t>
  </si>
  <si>
    <t>Điểm Fi (0–5)</t>
  </si>
  <si>
    <t>Kết quả (Wi×Fi)</t>
  </si>
  <si>
    <t>Lý do chấm điểm TeamsWork</t>
  </si>
  <si>
    <t>T1</t>
  </si>
  <si>
    <t>Xử lý phân tán</t>
  </si>
  <si>
    <t>Teams Tab + Bot Service + Backend API chạy riêng biệt</t>
  </si>
  <si>
    <t>T2</t>
  </si>
  <si>
    <t>Mức độ quan trọng của hiệu năng</t>
  </si>
  <si>
    <t>Yêu cầu load task Kanban &lt;2s, KPI realtime</t>
  </si>
  <si>
    <t>T3</t>
  </si>
  <si>
    <t>Hiệu quả sử dụng cho người dùng</t>
  </si>
  <si>
    <t>Fluent UI thiết kế UX chuẩn Microsoft, drag-drop mượt</t>
  </si>
  <si>
    <t>T4</t>
  </si>
  <si>
    <t>Độ phức tạp xử lý bên trong</t>
  </si>
  <si>
    <t>Engine tính KPI tự động, scoring, ranking, alert logic</t>
  </si>
  <si>
    <t>T5</t>
  </si>
  <si>
    <t>Khả năng tái sử dụng mã nguồn</t>
  </si>
  <si>
    <t>Component Fluent UI, hook React, module KPI dùng chung</t>
  </si>
  <si>
    <t>T6</t>
  </si>
  <si>
    <t>Dễ cài đặt</t>
  </si>
  <si>
    <t>Cài qua Teams App Catalog hoặc Sideload Manifest</t>
  </si>
  <si>
    <t>T7</t>
  </si>
  <si>
    <t>Dễ vận hành</t>
  </si>
  <si>
    <t>Admin Panel đầy đủ, hướng dẫn vận hành, onboarding tour</t>
  </si>
  <si>
    <t>T8</t>
  </si>
  <si>
    <t>Khả năng chuyển đổi sang nền tảng khác</t>
  </si>
  <si>
    <t>Thiết kế embedded trong Teams, ít chuyển đổi</t>
  </si>
  <si>
    <t>T9</t>
  </si>
  <si>
    <t>Dễ bảo trì</t>
  </si>
  <si>
    <t>Code module hóa, tài liệu kỹ thuật đầy đủ, CI/CD</t>
  </si>
  <si>
    <t>T10</t>
  </si>
  <si>
    <t>Xử lý đồng thời (concurrent users)</t>
  </si>
  <si>
    <t>Nhiều user cùng cập nhật Kanban, session đồng thời</t>
  </si>
  <si>
    <t>T11</t>
  </si>
  <si>
    <t>Mức độ hỗ trợ bảo mật</t>
  </si>
  <si>
    <t>AES-256 at-rest, HTTPS/HSTS, RBAC, Azure Key Vault, block brute-force</t>
  </si>
  <si>
    <t>T12</t>
  </si>
  <si>
    <t>Phụ thuộc mã nguồn / thư viện bên thứ ba</t>
  </si>
  <si>
    <t>Azure AD SDK, MS Graph Client, Bot Framework, Fluent UI</t>
  </si>
  <si>
    <t>T13</t>
  </si>
  <si>
    <t>Hỗ trợ đào tạo người sử dụng</t>
  </si>
  <si>
    <t>Đào tạo 2 nhóm, tài liệu, video hướng dẫn, FAQ trong app</t>
  </si>
  <si>
    <t>TFW = Tổng Wi × Fi</t>
  </si>
  <si>
    <t>Tổng điểm hệ số kỹ thuật</t>
  </si>
  <si>
    <t>II. HỆ SỐ PHỨC TẠP KỸ THUẬT (TCF)</t>
  </si>
  <si>
    <t>Công thức: TCF = 0.6 + (0.01 × TFW)</t>
  </si>
  <si>
    <t>Hệ số phức tạp kỹ thuật – công nghệ</t>
  </si>
  <si>
    <t>PHỤ LỤC VI: HỆ SỐ MÔI TRƯỜNG &amp; NHÓM LÀM VIỆC (ECF) – TEAMSWORK</t>
  </si>
  <si>
    <t>I. HỆ SỐ MÔI TRƯỜNG (EFW)</t>
  </si>
  <si>
    <t>Hệ số môi trường</t>
  </si>
  <si>
    <t>Đánh giá thực tế đội TeamsWork</t>
  </si>
  <si>
    <t>E1</t>
  </si>
  <si>
    <t>Quen thuộc với quy trình phát triển phần mềm</t>
  </si>
  <si>
    <t>Áp dụng Scrum + PMBOK, có PM Lead điều phối, sprint planning rõ ràng</t>
  </si>
  <si>
    <t>E2</t>
  </si>
  <si>
    <t>Kinh nghiệm làm ứng dụng thực tế</t>
  </si>
  <si>
    <t>Sinh viên năm cuối ĐHBK, có project môn học trước đó</t>
  </si>
  <si>
    <t>E3</t>
  </si>
  <si>
    <t>Kinh nghiệm về lập trình hướng đối tượng</t>
  </si>
  <si>
    <t>Đào tạo kỹ thuật tốt tại ĐHBK, Node.js/React OOP</t>
  </si>
  <si>
    <t>E4</t>
  </si>
  <si>
    <t>Năng lực chủ trì phân tích hệ thống</t>
  </si>
  <si>
    <t>Tech Lead có kinh nghiệm phân tích, backlog 513 US rõ ràng</t>
  </si>
  <si>
    <t>E5</t>
  </si>
  <si>
    <t>Động lực làm việc của nhóm</t>
  </si>
  <si>
    <t>Dự án môn học quan trọng, mục tiêu rõ, đội ngũ nhiệt tình</t>
  </si>
  <si>
    <t>E6</t>
  </si>
  <si>
    <t>Mức độ ổn định của yêu cầu</t>
  </si>
  <si>
    <t>Product Backlog 513 US đã freeze, ít thay đổi trong quá trình dev</t>
  </si>
  <si>
    <t>E7</t>
  </si>
  <si>
    <t>Nhân viên bán thời gian (part-time)</t>
  </si>
  <si>
    <t>3 nhân sự chính bán thời gian – ảnh hưởng đến năng suất (Fi=3)</t>
  </si>
  <si>
    <t>E8</t>
  </si>
  <si>
    <t>Ngôn ngữ lập trình khó</t>
  </si>
  <si>
    <t>Node.js + React + Teams Toolkit: tương đối quen, không quá khó</t>
  </si>
  <si>
    <t>EFW = Tổng Wi × Fi</t>
  </si>
  <si>
    <t>Tổng điểm hệ số môi trường</t>
  </si>
  <si>
    <t>II. HỆ SỐ MÔI TRƯỜNG (ECF)</t>
  </si>
  <si>
    <t>Công thức: ECF = 1.4 + (−0.03 × EFW)</t>
  </si>
  <si>
    <t>Hệ số tác động môi trường nhóm làm việc</t>
  </si>
  <si>
    <t>PHỤ LỤC VII: BẢNG TÍNH LƯƠNG NHÂN CÔNG – DỰ ÁN TEAMSWORK</t>
  </si>
  <si>
    <t>(Theo QĐ 320/QĐ-BKHCN ngày 30/3/2025 – 3 kỹ sư bán thời gian, bậc 2)</t>
  </si>
  <si>
    <t>Hạng mục</t>
  </si>
  <si>
    <t>Ký hiệu</t>
  </si>
  <si>
    <t>Công thức</t>
  </si>
  <si>
    <t>Kỹ sư bậc 1</t>
  </si>
  <si>
    <t>Kỹ sư bậc 2</t>
  </si>
  <si>
    <t>Kỹ sư bậc 3</t>
  </si>
  <si>
    <t>Hệ số cấp bậc</t>
  </si>
  <si>
    <t>HCB</t>
  </si>
  <si>
    <t>QĐ 320/QĐ-BKHCN ngày 30/3/2025</t>
  </si>
  <si>
    <t>Hệ số phụ cấp lương</t>
  </si>
  <si>
    <t>HPC</t>
  </si>
  <si>
    <t>Không có phụ cấp</t>
  </si>
  <si>
    <t>Mức lương cơ sở</t>
  </si>
  <si>
    <t>MLCS</t>
  </si>
  <si>
    <t>NĐ 73/2024/NĐ-CP ngày 30/6/2024</t>
  </si>
  <si>
    <t>Lương cơ bản</t>
  </si>
  <si>
    <t>LCB</t>
  </si>
  <si>
    <t>HCB × MLCS</t>
  </si>
  <si>
    <t>Hệ số điều chỉnh tăng lương</t>
  </si>
  <si>
    <t>HĐC</t>
  </si>
  <si>
    <t>NĐ 74/2024/NĐ-CP</t>
  </si>
  <si>
    <t>Các khoản đóng góp theo lương</t>
  </si>
  <si>
    <t>BHLĐ</t>
  </si>
  <si>
    <t>BHXH + BHYT + BHTN</t>
  </si>
  <si>
    <t>QĐ 320/QĐ-BKHCN</t>
  </si>
  <si>
    <t>6.1</t>
  </si>
  <si>
    <t xml:space="preserve">  Bảo hiểm xã hội (17,5%)</t>
  </si>
  <si>
    <t>BHXH</t>
  </si>
  <si>
    <t>17.5% × LCB</t>
  </si>
  <si>
    <t>NĐ 58/2020/NĐ-CP</t>
  </si>
  <si>
    <t>6.2</t>
  </si>
  <si>
    <t xml:space="preserve">  Bảo hiểm y tế (3%)</t>
  </si>
  <si>
    <t>BHYT</t>
  </si>
  <si>
    <t>3% × LCB</t>
  </si>
  <si>
    <t>QĐ 595/QĐ-BHXH</t>
  </si>
  <si>
    <t>6.3</t>
  </si>
  <si>
    <t xml:space="preserve">  Bảo hiểm thất nghiệp (1%)</t>
  </si>
  <si>
    <t>BHTN</t>
  </si>
  <si>
    <t>1% × LCB</t>
  </si>
  <si>
    <t>Số ngày công trong tháng</t>
  </si>
  <si>
    <t>t</t>
  </si>
  <si>
    <t>Giá ngày công</t>
  </si>
  <si>
    <t>GNC</t>
  </si>
  <si>
    <t>[(HCB+HPC)×MLCS×(1+HĐC)+BHLĐ]/t</t>
  </si>
  <si>
    <t>QĐ 320</t>
  </si>
  <si>
    <t>Giá giờ công</t>
  </si>
  <si>
    <t>GGC</t>
  </si>
  <si>
    <t>GNC / 8</t>
  </si>
  <si>
    <t>Số nhân công (bán thời gian)</t>
  </si>
  <si>
    <t>NC</t>
  </si>
  <si>
    <t>3 kỹ sư bậc 2 bán thời gian</t>
  </si>
  <si>
    <t>Mức lương lao động bình quân (H)</t>
  </si>
  <si>
    <t>Đơn giá giờ công BQ (đồng/giờ) – đầu vào cho G</t>
  </si>
  <si>
    <t>Công thức: G = 1.4 × E × P × H  |  Theo QĐ 671/QĐ-BTTTT</t>
  </si>
  <si>
    <t>Diễn giải</t>
  </si>
  <si>
    <t>Giá trị</t>
  </si>
  <si>
    <t>Ghi chú / Nguồn</t>
  </si>
  <si>
    <t>TÍNH ĐIỂM USE CASE</t>
  </si>
  <si>
    <t>Điểm Actor không hiệu chỉnh (TAW)</t>
  </si>
  <si>
    <t>Tổng điểm Actor theo loại</t>
  </si>
  <si>
    <t>TAW</t>
  </si>
  <si>
    <t>Phụ lục III</t>
  </si>
  <si>
    <t>Điểm Use Case không hiệu chỉnh (TBF)</t>
  </si>
  <si>
    <t>Tổng điểm UC × Trọng số × Hệ số BMT</t>
  </si>
  <si>
    <t>Phụ lục IV</t>
  </si>
  <si>
    <t>Điểm UC chưa hiệu chỉnh (UUCP)</t>
  </si>
  <si>
    <t>UUCP = TAW + TBF</t>
  </si>
  <si>
    <t>UUCP</t>
  </si>
  <si>
    <t>Phụ lục III + IV</t>
  </si>
  <si>
    <t>Hệ số phức tạp kỹ thuật (TCF)</t>
  </si>
  <si>
    <t>TCF = 0.6 + (0.01 × TFW)</t>
  </si>
  <si>
    <t>TCF</t>
  </si>
  <si>
    <t>Phụ lục V</t>
  </si>
  <si>
    <t>Hệ số phức tạp môi trường (ECF)</t>
  </si>
  <si>
    <t>ECF = 1.4 + (−0.03 × EFW)</t>
  </si>
  <si>
    <t>ECF</t>
  </si>
  <si>
    <t>Phụ lục VI</t>
  </si>
  <si>
    <t>Điểm UC sau hiệu chỉnh (AUCP)</t>
  </si>
  <si>
    <t>AUCP = UUCP × TCF × ECF</t>
  </si>
  <si>
    <t>AUCP</t>
  </si>
  <si>
    <t>NỘI SUY THỜI GIAN LAO ĐỘNG</t>
  </si>
  <si>
    <t>Thời gian lao động theo UC (P)</t>
  </si>
  <si>
    <t>Nội suy 20–28 giờ/điểm UC (ECF=0.83)</t>
  </si>
  <si>
    <t>P</t>
  </si>
  <si>
    <t>Nội suy từ ECF=0.83 (khoảng 20-28 giờ) – phù hợp quy mô 17 UC</t>
  </si>
  <si>
    <t>GIÁ TRỊ NỖ LỰC THỰC TẾ</t>
  </si>
  <si>
    <t>Giá trị nỗ lực thực tế (E)</t>
  </si>
  <si>
    <t>E = (10/6) × AUCP</t>
  </si>
  <si>
    <t>E</t>
  </si>
  <si>
    <t>Giờ công</t>
  </si>
  <si>
    <t>ĐƠN GIÁ NHÂN CÔNG</t>
  </si>
  <si>
    <t>Đơn giá giờ công BQ – 3 KS bậc 2 bán thời gian</t>
  </si>
  <si>
    <t>H</t>
  </si>
  <si>
    <t>đồng/giờ – Phụ lục VII</t>
  </si>
  <si>
    <t>CHI PHÍ TRỰC TIẾP</t>
  </si>
  <si>
    <t>Chi phí trực tiếp phần mềm nội bộ (G)</t>
  </si>
  <si>
    <t>G = 1.4 × E × P × H</t>
  </si>
  <si>
    <t>G</t>
  </si>
  <si>
    <t>đồng</t>
  </si>
  <si>
    <t>BẢNG TỔNG HỢP CHI PHÍ PHẦN MỀM NỘI BỘ – DỰ ÁN TEAMSWORK</t>
  </si>
  <si>
    <t>Theo Quyết định số 671/QĐ-BTTTT ngày 26/04/2024 của Bộ TT&amp;TT</t>
  </si>
  <si>
    <t>Căn cứ NĐ 45/2026/NĐ-CP ngày 26/01/2026 (thay thế NĐ 73/2019, NĐ 82/2024)</t>
  </si>
  <si>
    <t>Tên dự án/Nhiệm vụ:</t>
  </si>
  <si>
    <t>Xây dựng Hệ thống Quản trị Công việc và KPI Nội bộ tích hợp Microsoft Teams (TeamsWork)</t>
  </si>
  <si>
    <t>Khoản mục chi phí</t>
  </si>
  <si>
    <t>Cách tính</t>
  </si>
  <si>
    <t>Thành tiền (đồng)</t>
  </si>
  <si>
    <t>%</t>
  </si>
  <si>
    <t>Chi phí trực tiếp XD, PT, MR phần mềm nội bộ</t>
  </si>
  <si>
    <t>Chi phí chung</t>
  </si>
  <si>
    <t>C = G × 65%</t>
  </si>
  <si>
    <t>C</t>
  </si>
  <si>
    <t>Thu nhập chịu thuế tính trước</t>
  </si>
  <si>
    <t>TL = (G+C) × 6%</t>
  </si>
  <si>
    <t>TL</t>
  </si>
  <si>
    <t>Chi phí XD, PT, MR phần mềm nội bộ</t>
  </si>
  <si>
    <t>GPM = G + C + TL</t>
  </si>
  <si>
    <t>GPM</t>
  </si>
  <si>
    <t>Chi phí dự phòng</t>
  </si>
  <si>
    <t>Gdp = GPM × 10%</t>
  </si>
  <si>
    <t>Gdp</t>
  </si>
  <si>
    <t>TỔNG CỘNG (Gpm = GPM + Gdp)</t>
  </si>
  <si>
    <t>THÔNG SỐ BỔ SUNG</t>
  </si>
  <si>
    <t>Khoản mục</t>
  </si>
  <si>
    <t>Tỷ lệ</t>
  </si>
  <si>
    <t>Căn cứ pháp lý</t>
  </si>
  <si>
    <t>1</t>
  </si>
  <si>
    <t>Tỷ lệ chi phí chung (C)</t>
  </si>
  <si>
    <t>65%</t>
  </si>
  <si>
    <t>Theo TT 04/2020/TT-BXD</t>
  </si>
  <si>
    <t>2</t>
  </si>
  <si>
    <t>Tỷ lệ thu nhập chịu thuế tính trước (TL)</t>
  </si>
  <si>
    <t>6%</t>
  </si>
  <si>
    <t>3</t>
  </si>
  <si>
    <t>Tỷ lệ chi phí dự phòng (Gdp)</t>
  </si>
  <si>
    <t>10%</t>
  </si>
  <si>
    <t>Theo NĐ 45/2026/NĐ-CP</t>
  </si>
  <si>
    <t>DỰ TOÁN CHI PHÍ KIỂM THỬ CHỨC NĂNG PHẦN MỀM NỘI BỘ (GKT)</t>
  </si>
  <si>
    <t>Theo Công văn số 3787/BTTTT-THH – Bộ Thông tin và Truyền thông</t>
  </si>
  <si>
    <t>Dự án: Hệ thống Quản trị Công việc và KPI Nội bộ tích hợp Microsoft Teams (TeamsWork)</t>
  </si>
  <si>
    <t>THÔNG SỐ ĐẦU VÀO</t>
  </si>
  <si>
    <t>Thông số</t>
  </si>
  <si>
    <t>Đơn vị</t>
  </si>
  <si>
    <t>Số chức năng kiểm thử</t>
  </si>
  <si>
    <t>n</t>
  </si>
  <si>
    <t>chức năng</t>
  </si>
  <si>
    <t>Mức độ kiểm thử</t>
  </si>
  <si>
    <t>m</t>
  </si>
  <si>
    <t>Đầy đủ</t>
  </si>
  <si>
    <t>–</t>
  </si>
  <si>
    <t>Số lần kiểm thử mỗi chức năng</t>
  </si>
  <si>
    <t>k</t>
  </si>
  <si>
    <t>lần/CN</t>
  </si>
  <si>
    <t>Giá ngày công kiểm thử (QĐ 320, bậc 2)</t>
  </si>
  <si>
    <t>GNC_KT</t>
  </si>
  <si>
    <t>đồng/ngày</t>
  </si>
  <si>
    <t>Số ngày công ước tính mỗi chức năng</t>
  </si>
  <si>
    <t>t_cn</t>
  </si>
  <si>
    <t>ngày/CN/lần</t>
  </si>
  <si>
    <t>Chi phí công cụ kiểm thử (Playwright, Postman)</t>
  </si>
  <si>
    <t>C_tool</t>
  </si>
  <si>
    <t>Chi phí lập báo cáo kiểm thử</t>
  </si>
  <si>
    <t>C_report</t>
  </si>
  <si>
    <t>BẢNG TÍNH CHI PHÍ KIỂM THỬ CHỨC NĂNG</t>
  </si>
  <si>
    <t>VAT</t>
  </si>
  <si>
    <t>Sau thuế (đồng)</t>
  </si>
  <si>
    <t>Chi phí nhân công kiểm thử chức năng</t>
  </si>
  <si>
    <t>n × k × t_cn × GNC_KT</t>
  </si>
  <si>
    <t>C_NC</t>
  </si>
  <si>
    <t>Chi phí công cụ kiểm thử tự động</t>
  </si>
  <si>
    <t>Playwright, Postman, công cụ automation</t>
  </si>
  <si>
    <t>Chi phí lập tài liệu, báo cáo kiểm thử</t>
  </si>
  <si>
    <t>Usecase KT, biên bản, báo cáo đầu ra</t>
  </si>
  <si>
    <t>C_rpt</t>
  </si>
  <si>
    <t>Chi phí chung (65% × C_NC)</t>
  </si>
  <si>
    <t>C_chung</t>
  </si>
  <si>
    <t>Thu nhập chịu thuế tính trước (6%)</t>
  </si>
  <si>
    <t>(C_NC + C_chung) × 6%</t>
  </si>
  <si>
    <t>TỔNG CHI PHÍ KIỂM THỬ CHỨC NĂNG (GKT)</t>
  </si>
  <si>
    <t>Căn cứ lập dự toán:</t>
  </si>
  <si>
    <t>– Công văn số 3787/BTTTT-THH của Bộ Thông tin và Truyền thông về hướng dẫn lập dự toán kiểm thử phần mềm nội bộ.</t>
  </si>
  <si>
    <t>– QĐ 320/QĐ-BKHCN ngày 30/3/2025: Đơn giá ngày công kỹ sư bậc 2.</t>
  </si>
  <si>
    <t>– TT 04/2020/TT-BXD: Tỷ lệ chi phí chung 65%, thu nhập chịu thuế 6%.</t>
  </si>
  <si>
    <t>– Phạm vi: Kiểm thử 17 Use Case (23 nhóm yêu cầu), mỗi chức năng thực hiện tối thiểu 3 lần với dữ liệu hợp lệ, lỗi và biên theo đặc tả kỹ thuật.</t>
  </si>
  <si>
    <t>– Sản phẩm bàn giao: Bộ Usecase kiểm thử chi tiết, Biên bản kiểm thử, Báo cáo kết quả đầu vào/đầu ra từng chức năng.</t>
  </si>
  <si>
    <t>DỰ TOÁN CHI PHÍ KIỂM THỬ AN TOÀN AN NINH THÔNG TIN (GKTATTT)</t>
  </si>
  <si>
    <t>Theo Thông tư số 121/2018/TT-BTC ngày 07/12/2018 của Bộ Tài chính</t>
  </si>
  <si>
    <t>THÔNG TIN HỆ THỐNG CẦN KIỂM THỬ</t>
  </si>
  <si>
    <t>Thông tin</t>
  </si>
  <si>
    <t>Tên hệ thống</t>
  </si>
  <si>
    <t>Hệ thống Quản trị Công việc và KPI Nội bộ (TeamsWork)</t>
  </si>
  <si>
    <t>Loại hệ thống</t>
  </si>
  <si>
    <t>Ứng dụng web nhúng Microsoft Teams (Tab App)</t>
  </si>
  <si>
    <t>Cấp độ ATTT đề xuất</t>
  </si>
  <si>
    <t>Cấp độ 2</t>
  </si>
  <si>
    <t>Theo TT 13/2017/TT-BTTTT</t>
  </si>
  <si>
    <t>Số module/phân hệ</t>
  </si>
  <si>
    <t>8 module chính (Auth, Task, KPI, Bot, Dashboard, Report, Admin, Integration)</t>
  </si>
  <si>
    <t>Số API endpoint</t>
  </si>
  <si>
    <t>~45 endpoints (CRUD task, KPI, user, report, bot, audit)</t>
  </si>
  <si>
    <t>Ước tính từ thiết kế hệ thống</t>
  </si>
  <si>
    <t>Môi trường kiểm thử</t>
  </si>
  <si>
    <t>Staging environment trên Azure Cloud</t>
  </si>
  <si>
    <t>Độc lập với production</t>
  </si>
  <si>
    <t>Đơn giá ngày công (QĐ 320, bậc 2)</t>
  </si>
  <si>
    <t>BẢNG TÍNH CHI PHÍ KIỂM THỬ AN TOÀN THÔNG TIN</t>
  </si>
  <si>
    <t>Hạng mục kiểm thử ATTT</t>
  </si>
  <si>
    <t>Nội dung thực hiện</t>
  </si>
  <si>
    <t>Số ngày công</t>
  </si>
  <si>
    <t>Đơn giá (đ/ngày)</t>
  </si>
  <si>
    <t>Rà quét lỗ hổng bảo mật (Vulnerability Assessment)</t>
  </si>
  <si>
    <t>Dò quét toàn bộ 45 API endpoints, giao diện web, cấu hình server bằng công cụ OWASP ZAP, Nessus</t>
  </si>
  <si>
    <t>OWASP ZAP + báo cáo VA</t>
  </si>
  <si>
    <t>Kiểm thử xâm nhập (Penetration Testing)</t>
  </si>
  <si>
    <t>Khai thác thử các lỗ hổng phát hiện ở bước 1; kiểm tra OWASP Top 10 (SQLi, XSS, CSRF, IDOR...)</t>
  </si>
  <si>
    <t>OWASP Top 10</t>
  </si>
  <si>
    <t>Kiểm tra bảo mật xác thực &amp; phân quyền</t>
  </si>
  <si>
    <t>Kiểm thử SSO Azure AD, JWT token, RBAC, brute-force protection, session timeout</t>
  </si>
  <si>
    <t>Bảo mật SSO/RBAC</t>
  </si>
  <si>
    <t>Kiểm tra mã hóa &amp; bảo mật dữ liệu</t>
  </si>
  <si>
    <t>Xác minh AES-256 at-rest, HTTPS/HSTS, TLS 1.2+, Azure Key Vault, không lộ thông tin nhạy cảm</t>
  </si>
  <si>
    <t>Data security</t>
  </si>
  <si>
    <t>Đánh giá cấu hình hạ tầng &amp; mạng</t>
  </si>
  <si>
    <t>Kiểm tra cấu hình Azure, firewall rules, network security groups, exposed ports</t>
  </si>
  <si>
    <t>Cloud security config</t>
  </si>
  <si>
    <t>Lập hồ sơ cấp độ ATTT &amp; báo cáo tổng hợp</t>
  </si>
  <si>
    <t>Xây dựng hồ sơ cấp độ 2, báo cáo đánh giá rủi ro, khuyến nghị khắc phục</t>
  </si>
  <si>
    <t>TT 13/2017/TT-BTTTT</t>
  </si>
  <si>
    <t>Chi phí công cụ kiểm thử chuyên dụng</t>
  </si>
  <si>
    <t>License OWASP ZAP Pro, Nessus Essentials, Burp Suite Community (nếu cần)</t>
  </si>
  <si>
    <t>Chi phí ước tính</t>
  </si>
  <si>
    <t>Chi phí chung (65% × chi phí nhân công)</t>
  </si>
  <si>
    <t>(Chi phí NC + Chi phí chung) × 6%</t>
  </si>
  <si>
    <t>TỔNG CHI PHÍ KIỂM THỬ ATTT (GKTATTT) – CHƯA VAT</t>
  </si>
  <si>
    <t>VAT (10%)</t>
  </si>
  <si>
    <t>TỔNG CHI PHÍ KIỂM THỬ ATTT (GKTATTT) – SAU VAT</t>
  </si>
  <si>
    <t>– Thông tư số 121/2018/TT-BTC ngày 07/12/2018 của Bộ Tài chính hướng dẫn lập dự toán, quản lý, sử dụng và quyết toán kinh phí thực hiện các cuộc kiểm tra, đánh giá an toàn hệ thống thông tin.</t>
  </si>
  <si>
    <t>– Thông tư 13/2017/TT-BTTTT: Quy định về yêu cầu bảo đảm an toàn thông tin theo cấp độ hệ thống (Cấp độ 2 áp dụng cho TeamsWork).</t>
  </si>
  <si>
    <t>– Phạm vi: Kiểm thử toàn diện bảo mật hệ thống TeamsWork bao gồm VA, Pentest, kiểm tra OWASP Top 10, bảo mật SSO/RBAC, mã hóa dữ liệu và cấu hình hạ tầng Azure.</t>
  </si>
  <si>
    <t>– Sau kiểm thử, đơn vị thực hiện bàn giao: Báo cáo VA, Báo cáo Pentest, Hồ sơ cấp độ ATTT cấp 2, Biên bản đánh giá và gợi ý khắc phục.</t>
  </si>
  <si>
    <t>BẢNG TỔNG HỢP DỰ TOÁN TOÀN DỰ ÁN – TEAMSWORK</t>
  </si>
  <si>
    <t>Theo NĐ 45/2026/NĐ-CP | QĐ 671/QĐ-BTTTT | QĐ 1688/QĐ-BTTTT | QĐ 320/QĐ-BKHCN</t>
  </si>
  <si>
    <t>Stt</t>
  </si>
  <si>
    <t>Nội dung chi phí</t>
  </si>
  <si>
    <t>Giá trị trước thuế (đ)</t>
  </si>
  <si>
    <t>VAT (đ)</t>
  </si>
  <si>
    <t>Giá trị sau thuế (đ)</t>
  </si>
  <si>
    <t>I</t>
  </si>
  <si>
    <t>Chi phí phần mềm nội bộ (có dự phòng)</t>
  </si>
  <si>
    <t>Theo QĐ 671/QĐ-BTTTT</t>
  </si>
  <si>
    <t>II</t>
  </si>
  <si>
    <t>Chi phí quản lý dự án</t>
  </si>
  <si>
    <t>GQL</t>
  </si>
  <si>
    <t>GPM × 1.855%</t>
  </si>
  <si>
    <t>III</t>
  </si>
  <si>
    <t>Chi phí tư vấn đầu tư</t>
  </si>
  <si>
    <t>GTV</t>
  </si>
  <si>
    <t>GTV1+GTV2+GTV3+GTV4</t>
  </si>
  <si>
    <t xml:space="preserve">  Chi phí lập báo cáo kinh tế – kỹ thuật</t>
  </si>
  <si>
    <t>GTV1</t>
  </si>
  <si>
    <t>GPM × 3.64%, min 10tr</t>
  </si>
  <si>
    <t xml:space="preserve">  Chi phí thẩm tra dự toán</t>
  </si>
  <si>
    <t>GTV2</t>
  </si>
  <si>
    <t>GPM × 0.085%, min 2tr</t>
  </si>
  <si>
    <t xml:space="preserve">  Chi phí lập hồ sơ mời thầu</t>
  </si>
  <si>
    <t>GTV3</t>
  </si>
  <si>
    <t>GPM × 0.2%, min 3tr</t>
  </si>
  <si>
    <t xml:space="preserve">  Chi phí đánh giá hồ sơ dự thầu</t>
  </si>
  <si>
    <t>GTV4</t>
  </si>
  <si>
    <t>IV</t>
  </si>
  <si>
    <t>Chi phí khác</t>
  </si>
  <si>
    <t>GK</t>
  </si>
  <si>
    <t>GKT + GKTATTT + GK1 + GK2</t>
  </si>
  <si>
    <t xml:space="preserve">  Chi phí kiểm thử chức năng phần mềm</t>
  </si>
  <si>
    <t>GKT</t>
  </si>
  <si>
    <t>Theo CV 3787/BTTTT-THH (xem sheet DT_KiemThuCN)</t>
  </si>
  <si>
    <t xml:space="preserve">  Chi phí kiểm thử an toàn an ninh TT</t>
  </si>
  <si>
    <t>GKTATTT</t>
  </si>
  <si>
    <t>Theo TT 121/2018/TT-BTC (xem sheet DT_KiemThuATTT)</t>
  </si>
  <si>
    <t xml:space="preserve">  Chi phí thẩm định HSMT</t>
  </si>
  <si>
    <t>GK1</t>
  </si>
  <si>
    <t>GPM × 0.1%, min 2tr</t>
  </si>
  <si>
    <t xml:space="preserve">  Chi phí thẩm định kết quả đấu thầu</t>
  </si>
  <si>
    <t>GK2</t>
  </si>
  <si>
    <t>GPM × 0.1%, min 3tr</t>
  </si>
  <si>
    <t>V</t>
  </si>
  <si>
    <t>Chi phí dự phòng toàn dự án</t>
  </si>
  <si>
    <t>GDP</t>
  </si>
  <si>
    <t>(GPM+GQL+GTV+GK)×10%</t>
  </si>
  <si>
    <t>TỔNG CỘNG TOÀN DỰ ÁN</t>
  </si>
  <si>
    <t>THÔNG SỐ TỶ LỆ ÁP DỤNG</t>
  </si>
  <si>
    <t>Văn bản áp dụng</t>
  </si>
  <si>
    <t>QĐ 1688/QĐ-BTTTT (Bảng 1)</t>
  </si>
  <si>
    <t>1.855%</t>
  </si>
  <si>
    <t>Chi phí lập BCKTKT</t>
  </si>
  <si>
    <t>QĐ 1688/QĐ-BTTTT (Bảng 2)</t>
  </si>
  <si>
    <t>3.64%</t>
  </si>
  <si>
    <t>Chi phí thẩm tra dự toán</t>
  </si>
  <si>
    <t>0.085%</t>
  </si>
  <si>
    <t>Chi phí lập HSMT &amp; đánh giá HSDT</t>
  </si>
  <si>
    <t>GTV3/4</t>
  </si>
  <si>
    <t>NĐ 214/2025/NĐ-CP</t>
  </si>
  <si>
    <t>0.2% mỗi khoản</t>
  </si>
  <si>
    <t>Thuế suất VAT</t>
  </si>
  <si>
    <t>Luật thuế GTGT hiện hành</t>
  </si>
  <si>
    <t>Dự phòng phí</t>
  </si>
  <si>
    <t>NĐ 45/2026/NĐ-CP</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</si>
</sst>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
    <numFmt numFmtId="177" formatCode="0.000"/>
    <numFmt numFmtId="178" formatCode="d&quot;13&quot;"/>
  </numFmts>
  <fonts count="41">
    <font>
      <sz val="11"/>
      <color theme="1"/>
      <name val="Calibri"/>
      <charset val="1"/>
    </font>
    <font>
      <b/>
      <sz val="14"/>
      <color rgb="FFFFFFFF"/>
      <name val="Arial"/>
      <charset val="1"/>
    </font>
    <font>
      <sz val="10"/>
      <color rgb="FF1F4E79"/>
      <name val="Arial"/>
      <charset val="1"/>
    </font>
    <font>
      <b/>
      <sz val="10"/>
      <color rgb="FF000000"/>
      <name val="Arial"/>
      <charset val="1"/>
    </font>
    <font>
      <sz val="10"/>
      <color rgb="FF000000"/>
      <name val="Arial"/>
      <charset val="1"/>
    </font>
    <font>
      <b/>
      <sz val="10"/>
      <color rgb="FFFFFFFF"/>
      <name val="Arial"/>
      <charset val="1"/>
    </font>
    <font>
      <b/>
      <sz val="10"/>
      <name val="Arial"/>
      <charset val="1"/>
    </font>
    <font>
      <sz val="10"/>
      <name val="Arial"/>
      <charset val="1"/>
    </font>
    <font>
      <b/>
      <sz val="12"/>
      <color rgb="FFFFFFFF"/>
      <name val="Arial"/>
      <charset val="1"/>
    </font>
    <font>
      <b/>
      <sz val="10"/>
      <color rgb="FF1F4E79"/>
      <name val="Arial"/>
      <charset val="1"/>
    </font>
    <font>
      <b/>
      <sz val="10"/>
      <color rgb="FF0070C0"/>
      <name val="Arial"/>
      <charset val="1"/>
    </font>
    <font>
      <i/>
      <sz val="10"/>
      <color rgb="FF595959"/>
      <name val="Arial"/>
      <charset val="1"/>
    </font>
    <font>
      <sz val="10"/>
      <color rgb="FF595959"/>
      <name val="Arial"/>
      <charset val="1"/>
    </font>
    <font>
      <b/>
      <sz val="11"/>
      <color rgb="FFFFFFFF"/>
      <name val="Arial"/>
      <charset val="1"/>
    </font>
    <font>
      <b/>
      <sz val="10"/>
      <color rgb="FF375623"/>
      <name val="Arial"/>
      <charset val="1"/>
    </font>
    <font>
      <b/>
      <sz val="13"/>
      <color rgb="FFFFFFFF"/>
      <name val="Arial"/>
      <charset val="1"/>
    </font>
    <font>
      <sz val="10"/>
      <color rgb="FF0070C0"/>
      <name val="Arial"/>
      <charset val="1"/>
    </font>
    <font>
      <b/>
      <sz val="16"/>
      <color rgb="FFFFFFFF"/>
      <name val="Arial"/>
      <charset val="1"/>
    </font>
    <font>
      <b/>
      <sz val="14"/>
      <color rgb="FFFFFF00"/>
      <name val="Arial"/>
      <charset val="1"/>
    </font>
    <font>
      <b/>
      <sz val="12"/>
      <color rgb="FF1F4E79"/>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3">
    <fill>
      <patternFill patternType="none"/>
    </fill>
    <fill>
      <patternFill patternType="gray125"/>
    </fill>
    <fill>
      <patternFill patternType="solid">
        <fgColor rgb="FF1F4E79"/>
        <bgColor rgb="FF003366"/>
      </patternFill>
    </fill>
    <fill>
      <patternFill patternType="solid">
        <fgColor rgb="FFD6E4F0"/>
        <bgColor rgb="FFE2EFDA"/>
      </patternFill>
    </fill>
    <fill>
      <patternFill patternType="solid">
        <fgColor rgb="FF2E75B6"/>
        <bgColor rgb="FF0070C0"/>
      </patternFill>
    </fill>
    <fill>
      <patternFill patternType="solid">
        <fgColor rgb="FF375623"/>
        <bgColor rgb="FF595959"/>
      </patternFill>
    </fill>
    <fill>
      <patternFill patternType="solid">
        <fgColor rgb="FFE2EFDA"/>
        <bgColor rgb="FFF2F2F2"/>
      </patternFill>
    </fill>
    <fill>
      <patternFill patternType="solid">
        <fgColor rgb="FFFCE4D6"/>
        <bgColor rgb="FFFFF2CC"/>
      </patternFill>
    </fill>
    <fill>
      <patternFill patternType="solid">
        <fgColor rgb="FFFFF2CC"/>
        <bgColor rgb="FFFCE4D6"/>
      </patternFill>
    </fill>
    <fill>
      <patternFill patternType="solid">
        <fgColor rgb="FFF2F2F2"/>
        <bgColor rgb="FFE8F0FE"/>
      </patternFill>
    </fill>
    <fill>
      <patternFill patternType="solid">
        <fgColor rgb="FFFFFFFF"/>
        <bgColor rgb="FFF2F2F2"/>
      </patternFill>
    </fill>
    <fill>
      <patternFill patternType="solid">
        <fgColor rgb="FFE8F0FE"/>
        <bgColor rgb="FFF2F2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0" fillId="0" borderId="0" applyBorder="0" applyAlignment="0" applyProtection="0"/>
    <xf numFmtId="44" fontId="20" fillId="0" borderId="0" applyBorder="0" applyAlignment="0" applyProtection="0"/>
    <xf numFmtId="9" fontId="20" fillId="0" borderId="0" applyBorder="0" applyAlignment="0" applyProtection="0"/>
    <xf numFmtId="41" fontId="20" fillId="0" borderId="0" applyBorder="0" applyAlignment="0" applyProtection="0"/>
    <xf numFmtId="42" fontId="20" fillId="0" borderId="0" applyBorder="0" applyAlignment="0" applyProtection="0"/>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12" borderId="2"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3" applyNumberFormat="0" applyFill="0" applyAlignment="0" applyProtection="0">
      <alignment vertical="center"/>
    </xf>
    <xf numFmtId="0" fontId="28" fillId="0" borderId="3" applyNumberFormat="0" applyFill="0" applyAlignment="0" applyProtection="0">
      <alignment vertical="center"/>
    </xf>
    <xf numFmtId="0" fontId="29" fillId="0" borderId="4" applyNumberFormat="0" applyFill="0" applyAlignment="0" applyProtection="0">
      <alignment vertical="center"/>
    </xf>
    <xf numFmtId="0" fontId="29" fillId="0" borderId="0" applyNumberFormat="0" applyFill="0" applyBorder="0" applyAlignment="0" applyProtection="0">
      <alignment vertical="center"/>
    </xf>
    <xf numFmtId="0" fontId="30" fillId="13" borderId="5" applyNumberFormat="0" applyAlignment="0" applyProtection="0">
      <alignment vertical="center"/>
    </xf>
    <xf numFmtId="0" fontId="31" fillId="14" borderId="6" applyNumberFormat="0" applyAlignment="0" applyProtection="0">
      <alignment vertical="center"/>
    </xf>
    <xf numFmtId="0" fontId="32" fillId="14" borderId="5" applyNumberFormat="0" applyAlignment="0" applyProtection="0">
      <alignment vertical="center"/>
    </xf>
    <xf numFmtId="0" fontId="33" fillId="15" borderId="7" applyNumberFormat="0" applyAlignment="0" applyProtection="0">
      <alignment vertical="center"/>
    </xf>
    <xf numFmtId="0" fontId="34" fillId="0" borderId="8" applyNumberFormat="0" applyFill="0" applyAlignment="0" applyProtection="0">
      <alignment vertical="center"/>
    </xf>
    <xf numFmtId="0" fontId="35" fillId="0" borderId="9" applyNumberFormat="0" applyFill="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40" fillId="36" borderId="0" applyNumberFormat="0" applyBorder="0" applyAlignment="0" applyProtection="0">
      <alignment vertical="center"/>
    </xf>
    <xf numFmtId="0" fontId="40"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40" fillId="40" borderId="0" applyNumberFormat="0" applyBorder="0" applyAlignment="0" applyProtection="0">
      <alignment vertical="center"/>
    </xf>
    <xf numFmtId="0" fontId="40" fillId="41" borderId="0" applyNumberFormat="0" applyBorder="0" applyAlignment="0" applyProtection="0">
      <alignment vertical="center"/>
    </xf>
    <xf numFmtId="0" fontId="39" fillId="42" borderId="0" applyNumberFormat="0" applyBorder="0" applyAlignment="0" applyProtection="0">
      <alignment vertical="center"/>
    </xf>
  </cellStyleXfs>
  <cellXfs count="92">
    <xf numFmtId="0" fontId="0" fillId="0" borderId="0" xfId="0"/>
    <xf numFmtId="0" fontId="0" fillId="0" borderId="0" xfId="0" applyAlignment="1"/>
    <xf numFmtId="0" fontId="1" fillId="2" borderId="0"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3" fillId="0" borderId="0" xfId="0" applyFont="1" applyAlignment="1">
      <alignment horizontal="left" vertical="center" wrapText="1"/>
    </xf>
    <xf numFmtId="0" fontId="4" fillId="0" borderId="0" xfId="0" applyFont="1" applyBorder="1" applyAlignment="1">
      <alignment horizontal="left" vertical="center" wrapText="1"/>
    </xf>
    <xf numFmtId="0" fontId="5" fillId="4"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3" borderId="1" xfId="0" applyFont="1" applyFill="1" applyBorder="1" applyAlignment="1">
      <alignment horizontal="left" vertical="center"/>
    </xf>
    <xf numFmtId="3" fontId="6" fillId="3" borderId="1" xfId="0" applyNumberFormat="1" applyFont="1" applyFill="1" applyBorder="1" applyAlignment="1">
      <alignment horizontal="center" vertical="center" wrapText="1"/>
    </xf>
    <xf numFmtId="3" fontId="7" fillId="3" borderId="1" xfId="0" applyNumberFormat="1" applyFont="1" applyFill="1" applyBorder="1" applyAlignment="1">
      <alignment horizontal="left" vertical="center" wrapText="1"/>
    </xf>
    <xf numFmtId="3" fontId="7" fillId="3" borderId="1" xfId="0" applyNumberFormat="1"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xf>
    <xf numFmtId="3" fontId="7" fillId="0" borderId="1" xfId="0" applyNumberFormat="1" applyFont="1" applyBorder="1" applyAlignment="1">
      <alignment horizontal="center" vertical="center" wrapText="1"/>
    </xf>
    <xf numFmtId="3" fontId="7" fillId="0" borderId="1" xfId="0" applyNumberFormat="1" applyFont="1" applyBorder="1" applyAlignment="1">
      <alignment horizontal="left" vertical="center" wrapText="1"/>
    </xf>
    <xf numFmtId="0" fontId="8" fillId="2" borderId="1" xfId="0" applyFont="1" applyFill="1" applyBorder="1" applyAlignment="1">
      <alignment horizontal="center" vertical="center" wrapText="1"/>
    </xf>
    <xf numFmtId="3" fontId="5" fillId="5" borderId="1" xfId="0" applyNumberFormat="1" applyFont="1" applyFill="1" applyBorder="1" applyAlignment="1">
      <alignment horizontal="center" vertical="center"/>
    </xf>
    <xf numFmtId="3" fontId="3" fillId="0" borderId="1" xfId="0" applyNumberFormat="1" applyFont="1" applyBorder="1" applyAlignment="1">
      <alignment horizontal="center" vertical="center" wrapText="1"/>
    </xf>
    <xf numFmtId="0" fontId="9" fillId="3" borderId="0" xfId="0" applyFont="1" applyFill="1" applyBorder="1" applyAlignment="1">
      <alignment horizontal="left" vertical="center" wrapText="1"/>
    </xf>
    <xf numFmtId="0" fontId="8" fillId="2" borderId="0"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0" fillId="0" borderId="1" xfId="0" applyFont="1" applyBorder="1" applyAlignment="1">
      <alignment horizontal="center" vertical="center"/>
    </xf>
    <xf numFmtId="0" fontId="11" fillId="0" borderId="1" xfId="0" applyFont="1" applyBorder="1" applyAlignment="1">
      <alignment horizontal="left" vertical="center" wrapText="1"/>
    </xf>
    <xf numFmtId="3" fontId="10" fillId="0" borderId="1" xfId="0" applyNumberFormat="1" applyFont="1" applyBorder="1" applyAlignment="1">
      <alignment horizontal="center" vertical="center"/>
    </xf>
    <xf numFmtId="0" fontId="12" fillId="0" borderId="1" xfId="0" applyFont="1" applyBorder="1" applyAlignment="1">
      <alignment horizontal="left" vertical="center" wrapText="1"/>
    </xf>
    <xf numFmtId="3" fontId="4" fillId="0" borderId="1" xfId="0" applyNumberFormat="1" applyFont="1" applyBorder="1" applyAlignment="1">
      <alignment horizontal="center" vertical="center" wrapText="1"/>
    </xf>
    <xf numFmtId="3" fontId="3" fillId="0" borderId="1" xfId="0" applyNumberFormat="1" applyFont="1" applyBorder="1" applyAlignment="1">
      <alignment horizontal="center" vertical="center"/>
    </xf>
    <xf numFmtId="0" fontId="0" fillId="0" borderId="1" xfId="0" applyBorder="1" applyAlignment="1"/>
    <xf numFmtId="0" fontId="13" fillId="2" borderId="1" xfId="0" applyFont="1" applyFill="1" applyBorder="1" applyAlignment="1">
      <alignment horizontal="center" vertical="center" wrapText="1"/>
    </xf>
    <xf numFmtId="3" fontId="14" fillId="6" borderId="1" xfId="0" applyNumberFormat="1" applyFont="1" applyFill="1" applyBorder="1" applyAlignment="1">
      <alignment horizontal="center" vertical="center" wrapText="1"/>
    </xf>
    <xf numFmtId="0" fontId="3" fillId="0" borderId="0" xfId="0" applyFont="1" applyBorder="1" applyAlignment="1">
      <alignment horizontal="left" vertical="center" wrapText="1"/>
    </xf>
    <xf numFmtId="0" fontId="11" fillId="0" borderId="0" xfId="0" applyFont="1" applyBorder="1" applyAlignment="1">
      <alignment horizontal="left"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15" fillId="2" borderId="0" xfId="0" applyFont="1" applyFill="1" applyBorder="1" applyAlignment="1">
      <alignment horizontal="center" vertical="center" wrapText="1"/>
    </xf>
    <xf numFmtId="0" fontId="9" fillId="0" borderId="1" xfId="0" applyFont="1" applyBorder="1" applyAlignment="1">
      <alignment horizontal="center" vertical="center" wrapText="1"/>
    </xf>
    <xf numFmtId="0" fontId="14" fillId="6" borderId="1"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3" fontId="4" fillId="0" borderId="1" xfId="0" applyNumberFormat="1" applyFont="1" applyBorder="1" applyAlignment="1">
      <alignment horizontal="center" vertical="center"/>
    </xf>
    <xf numFmtId="176" fontId="4" fillId="0" borderId="1" xfId="0" applyNumberFormat="1" applyFont="1" applyBorder="1" applyAlignment="1">
      <alignment horizontal="center" vertical="center"/>
    </xf>
    <xf numFmtId="177" fontId="4" fillId="0" borderId="1" xfId="0" applyNumberFormat="1" applyFont="1" applyBorder="1" applyAlignment="1">
      <alignment horizontal="center" vertical="center"/>
    </xf>
    <xf numFmtId="4" fontId="4" fillId="0" borderId="1" xfId="0" applyNumberFormat="1" applyFont="1" applyBorder="1" applyAlignment="1">
      <alignment horizontal="center" vertical="center"/>
    </xf>
    <xf numFmtId="0" fontId="16" fillId="0" borderId="1" xfId="0" applyFont="1" applyBorder="1" applyAlignment="1">
      <alignment horizontal="center" vertical="center"/>
    </xf>
    <xf numFmtId="3" fontId="8" fillId="5" borderId="1" xfId="0" applyNumberFormat="1" applyFont="1" applyFill="1" applyBorder="1" applyAlignment="1">
      <alignment horizontal="center" vertical="center"/>
    </xf>
    <xf numFmtId="3" fontId="16" fillId="0" borderId="1" xfId="0" applyNumberFormat="1" applyFont="1" applyBorder="1" applyAlignment="1">
      <alignment horizontal="center" vertical="center"/>
    </xf>
    <xf numFmtId="2" fontId="4" fillId="0" borderId="1" xfId="0" applyNumberFormat="1" applyFont="1" applyBorder="1" applyAlignment="1">
      <alignment horizontal="center" vertical="center" wrapText="1"/>
    </xf>
    <xf numFmtId="0" fontId="3" fillId="7" borderId="1" xfId="0" applyFont="1" applyFill="1" applyBorder="1" applyAlignment="1">
      <alignment horizontal="center" vertical="center"/>
    </xf>
    <xf numFmtId="0" fontId="10" fillId="7" borderId="1" xfId="0" applyFont="1" applyFill="1" applyBorder="1" applyAlignment="1">
      <alignment horizontal="center" vertical="center"/>
    </xf>
    <xf numFmtId="2" fontId="5" fillId="5" borderId="1" xfId="0" applyNumberFormat="1" applyFont="1" applyFill="1" applyBorder="1" applyAlignment="1">
      <alignment horizontal="center" vertical="center"/>
    </xf>
    <xf numFmtId="177" fontId="5" fillId="5" borderId="1" xfId="0" applyNumberFormat="1" applyFont="1" applyFill="1" applyBorder="1" applyAlignment="1">
      <alignment horizontal="center" vertical="center"/>
    </xf>
    <xf numFmtId="0" fontId="6" fillId="6" borderId="1" xfId="0" applyFont="1" applyFill="1" applyBorder="1" applyAlignment="1">
      <alignment horizontal="center" vertical="center"/>
    </xf>
    <xf numFmtId="0" fontId="4" fillId="6" borderId="1" xfId="0" applyFont="1" applyFill="1" applyBorder="1" applyAlignment="1">
      <alignment horizontal="left" vertical="center"/>
    </xf>
    <xf numFmtId="0" fontId="4" fillId="6" borderId="1" xfId="0" applyFont="1" applyFill="1" applyBorder="1" applyAlignment="1">
      <alignment horizontal="center" vertical="center"/>
    </xf>
    <xf numFmtId="0" fontId="10" fillId="6" borderId="1" xfId="0" applyFont="1" applyFill="1" applyBorder="1" applyAlignment="1">
      <alignment horizontal="center" vertical="center"/>
    </xf>
    <xf numFmtId="176" fontId="16" fillId="6" borderId="1" xfId="0" applyNumberFormat="1" applyFont="1" applyFill="1" applyBorder="1" applyAlignment="1">
      <alignment horizontal="center" vertical="center"/>
    </xf>
    <xf numFmtId="0" fontId="6" fillId="8" borderId="1" xfId="0" applyFont="1" applyFill="1" applyBorder="1" applyAlignment="1">
      <alignment horizontal="center" vertical="center"/>
    </xf>
    <xf numFmtId="0" fontId="4" fillId="8" borderId="1" xfId="0" applyFont="1" applyFill="1" applyBorder="1" applyAlignment="1">
      <alignment horizontal="left" vertical="center"/>
    </xf>
    <xf numFmtId="0" fontId="4" fillId="8" borderId="1" xfId="0" applyFont="1" applyFill="1" applyBorder="1" applyAlignment="1">
      <alignment horizontal="center" vertical="center"/>
    </xf>
    <xf numFmtId="0" fontId="10" fillId="8" borderId="1" xfId="0" applyFont="1" applyFill="1" applyBorder="1" applyAlignment="1">
      <alignment horizontal="center" vertical="center"/>
    </xf>
    <xf numFmtId="176" fontId="16" fillId="8" borderId="1" xfId="0" applyNumberFormat="1" applyFont="1" applyFill="1" applyBorder="1" applyAlignment="1">
      <alignment horizontal="center" vertical="center"/>
    </xf>
    <xf numFmtId="0" fontId="6" fillId="7" borderId="1" xfId="0" applyFont="1" applyFill="1" applyBorder="1" applyAlignment="1">
      <alignment horizontal="center" vertical="center"/>
    </xf>
    <xf numFmtId="0" fontId="4" fillId="7" borderId="1" xfId="0" applyFont="1" applyFill="1" applyBorder="1" applyAlignment="1">
      <alignment horizontal="left" vertical="center"/>
    </xf>
    <xf numFmtId="0" fontId="4" fillId="7" borderId="1" xfId="0" applyFont="1" applyFill="1" applyBorder="1" applyAlignment="1">
      <alignment horizontal="center" vertical="center"/>
    </xf>
    <xf numFmtId="176" fontId="16" fillId="7" borderId="1" xfId="0" applyNumberFormat="1" applyFont="1" applyFill="1" applyBorder="1" applyAlignment="1">
      <alignment horizontal="center" vertical="center"/>
    </xf>
    <xf numFmtId="176" fontId="3" fillId="0" borderId="1" xfId="0" applyNumberFormat="1" applyFont="1" applyBorder="1" applyAlignment="1">
      <alignment horizontal="center" vertical="center" wrapText="1"/>
    </xf>
    <xf numFmtId="178" fontId="5" fillId="5" borderId="1" xfId="0" applyNumberFormat="1" applyFont="1" applyFill="1" applyBorder="1" applyAlignment="1">
      <alignment horizontal="center" vertical="center"/>
    </xf>
    <xf numFmtId="176" fontId="5" fillId="5"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0" fontId="7" fillId="3" borderId="1" xfId="0" applyFont="1" applyFill="1" applyBorder="1" applyAlignment="1">
      <alignment horizontal="left" vertical="center"/>
    </xf>
    <xf numFmtId="0" fontId="13" fillId="5" borderId="1" xfId="0" applyFont="1" applyFill="1" applyBorder="1" applyAlignment="1">
      <alignment horizontal="center" vertical="center"/>
    </xf>
    <xf numFmtId="3" fontId="13" fillId="5" borderId="1" xfId="0" applyNumberFormat="1" applyFont="1" applyFill="1" applyBorder="1" applyAlignment="1">
      <alignment horizontal="center" vertical="center"/>
    </xf>
    <xf numFmtId="0" fontId="5" fillId="5" borderId="1" xfId="0" applyFont="1" applyFill="1" applyBorder="1" applyAlignment="1">
      <alignment horizontal="left"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6" fillId="0" borderId="1" xfId="0" applyFont="1" applyBorder="1" applyAlignment="1">
      <alignment horizontal="center" vertical="center"/>
    </xf>
    <xf numFmtId="0" fontId="0" fillId="0" borderId="0" xfId="0" applyBorder="1" applyAlignment="1"/>
    <xf numFmtId="0" fontId="17" fillId="2" borderId="0" xfId="0" applyFont="1" applyFill="1" applyBorder="1" applyAlignment="1">
      <alignment horizontal="center" vertical="center" wrapText="1"/>
    </xf>
    <xf numFmtId="0" fontId="18" fillId="2" borderId="0"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19" fillId="11" borderId="0"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E8F0FE"/>
      <rgbColor rgb="00660066"/>
      <rgbColor rgb="00FF8080"/>
      <rgbColor rgb="000070C0"/>
      <rgbColor rgb="00D6E4F0"/>
      <rgbColor rgb="00000080"/>
      <rgbColor rgb="00FF00FF"/>
      <rgbColor rgb="00FFFF00"/>
      <rgbColor rgb="0000FFFF"/>
      <rgbColor rgb="00800080"/>
      <rgbColor rgb="00800000"/>
      <rgbColor rgb="00008080"/>
      <rgbColor rgb="000000FF"/>
      <rgbColor rgb="0000CCFF"/>
      <rgbColor rgb="00F2F2F2"/>
      <rgbColor rgb="00E2EFDA"/>
      <rgbColor rgb="00FFFF99"/>
      <rgbColor rgb="0099CCFF"/>
      <rgbColor rgb="00FF99CC"/>
      <rgbColor rgb="00CC99FF"/>
      <rgbColor rgb="00FCE4D6"/>
      <rgbColor rgb="002E75B6"/>
      <rgbColor rgb="0033CCCC"/>
      <rgbColor rgb="0099CC00"/>
      <rgbColor rgb="00FFCC00"/>
      <rgbColor rgb="00FF9900"/>
      <rgbColor rgb="00FF6600"/>
      <rgbColor rgb="00595959"/>
      <rgbColor rgb="00969696"/>
      <rgbColor rgb="00003366"/>
      <rgbColor rgb="00339966"/>
      <rgbColor rgb="00003300"/>
      <rgbColor rgb="00333300"/>
      <rgbColor rgb="00993300"/>
      <rgbColor rgb="00993366"/>
      <rgbColor rgb="001F4E79"/>
      <rgbColor rgb="00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workbookViewId="0">
      <selection activeCell="A1" sqref="A1:G1"/>
    </sheetView>
  </sheetViews>
  <sheetFormatPr defaultColWidth="8.67592592592593" defaultRowHeight="14.4" outlineLevelCol="6"/>
  <cols>
    <col min="1" max="7" width="18" style="1" customWidth="1"/>
  </cols>
  <sheetData>
    <row r="1" ht="15" customHeight="1" spans="1:7">
      <c r="A1" s="86"/>
      <c r="B1" s="86"/>
      <c r="C1" s="86"/>
      <c r="D1" s="86"/>
      <c r="E1" s="86"/>
      <c r="F1" s="86"/>
      <c r="G1" s="86"/>
    </row>
    <row r="2" ht="39.75" customHeight="1" spans="1:7">
      <c r="A2" s="87" t="s">
        <v>0</v>
      </c>
      <c r="B2" s="87"/>
      <c r="C2" s="87"/>
      <c r="D2" s="87"/>
      <c r="E2" s="87"/>
      <c r="F2" s="87"/>
      <c r="G2" s="87"/>
    </row>
    <row r="3" ht="34.5" customHeight="1" spans="1:7">
      <c r="A3" s="88" t="s">
        <v>1</v>
      </c>
      <c r="B3" s="88"/>
      <c r="C3" s="88"/>
      <c r="D3" s="88"/>
      <c r="E3" s="88"/>
      <c r="F3" s="88"/>
      <c r="G3" s="88"/>
    </row>
    <row r="4" ht="34.5" customHeight="1" spans="1:7">
      <c r="A4" s="88" t="s">
        <v>2</v>
      </c>
      <c r="B4" s="88"/>
      <c r="C4" s="88"/>
      <c r="D4" s="88"/>
      <c r="E4" s="88"/>
      <c r="F4" s="88"/>
      <c r="G4" s="88"/>
    </row>
    <row r="5" ht="15" customHeight="1" spans="1:7">
      <c r="A5" s="86"/>
      <c r="B5" s="86"/>
      <c r="C5" s="86"/>
      <c r="D5" s="86"/>
      <c r="E5" s="86"/>
      <c r="F5" s="86"/>
      <c r="G5" s="86"/>
    </row>
    <row r="6" ht="19.5" customHeight="1" spans="1:7">
      <c r="A6" s="89" t="s">
        <v>3</v>
      </c>
      <c r="B6" s="90" t="s">
        <v>4</v>
      </c>
      <c r="C6" s="90"/>
      <c r="D6" s="90"/>
      <c r="E6" s="90"/>
      <c r="F6" s="90"/>
      <c r="G6" s="90"/>
    </row>
    <row r="7" ht="19.5" customHeight="1" spans="1:7">
      <c r="A7" s="89" t="s">
        <v>5</v>
      </c>
      <c r="B7" s="90" t="s">
        <v>6</v>
      </c>
      <c r="C7" s="90"/>
      <c r="D7" s="90"/>
      <c r="E7" s="90"/>
      <c r="F7" s="90"/>
      <c r="G7" s="90"/>
    </row>
    <row r="8" ht="19.5" customHeight="1" spans="1:7">
      <c r="A8" s="89" t="s">
        <v>7</v>
      </c>
      <c r="B8" s="90" t="s">
        <v>8</v>
      </c>
      <c r="C8" s="90"/>
      <c r="D8" s="90"/>
      <c r="E8" s="90"/>
      <c r="F8" s="90"/>
      <c r="G8" s="90"/>
    </row>
    <row r="9" ht="19.5" customHeight="1" spans="1:7">
      <c r="A9" s="89" t="s">
        <v>9</v>
      </c>
      <c r="B9" s="90" t="s">
        <v>10</v>
      </c>
      <c r="C9" s="90"/>
      <c r="D9" s="90"/>
      <c r="E9" s="90"/>
      <c r="F9" s="90"/>
      <c r="G9" s="90"/>
    </row>
    <row r="10" ht="19.5" customHeight="1" spans="1:7">
      <c r="A10" s="89" t="s">
        <v>11</v>
      </c>
      <c r="B10" s="90" t="s">
        <v>12</v>
      </c>
      <c r="C10" s="90"/>
      <c r="D10" s="90"/>
      <c r="E10" s="90"/>
      <c r="F10" s="90"/>
      <c r="G10" s="90"/>
    </row>
    <row r="11" ht="19.5" customHeight="1" spans="1:7">
      <c r="A11" s="89" t="s">
        <v>13</v>
      </c>
      <c r="B11" s="90" t="s">
        <v>14</v>
      </c>
      <c r="C11" s="90"/>
      <c r="D11" s="90"/>
      <c r="E11" s="90"/>
      <c r="F11" s="90"/>
      <c r="G11" s="90"/>
    </row>
    <row r="12" ht="19.5" customHeight="1" spans="1:7">
      <c r="A12" s="89" t="s">
        <v>15</v>
      </c>
      <c r="B12" s="90" t="s">
        <v>16</v>
      </c>
      <c r="C12" s="90"/>
      <c r="D12" s="90"/>
      <c r="E12" s="90"/>
      <c r="F12" s="90"/>
      <c r="G12" s="90"/>
    </row>
    <row r="13" ht="19.5" customHeight="1" spans="1:7">
      <c r="A13" s="89" t="s">
        <v>17</v>
      </c>
      <c r="B13" s="90" t="s">
        <v>18</v>
      </c>
      <c r="C13" s="90"/>
      <c r="D13" s="90"/>
      <c r="E13" s="90"/>
      <c r="F13" s="90"/>
      <c r="G13" s="90"/>
    </row>
    <row r="14" ht="19.5" customHeight="1" spans="1:7">
      <c r="A14" s="89" t="s">
        <v>19</v>
      </c>
      <c r="B14" s="90" t="s">
        <v>20</v>
      </c>
      <c r="C14" s="90"/>
      <c r="D14" s="90"/>
      <c r="E14" s="90"/>
      <c r="F14" s="90"/>
      <c r="G14" s="90"/>
    </row>
    <row r="16" ht="30" customHeight="1" spans="1:7">
      <c r="A16" s="91" t="s">
        <v>21</v>
      </c>
      <c r="B16" s="91"/>
      <c r="C16" s="91"/>
      <c r="D16" s="91"/>
      <c r="E16" s="91"/>
      <c r="F16" s="91"/>
      <c r="G16" s="91"/>
    </row>
  </sheetData>
  <mergeCells count="15">
    <mergeCell ref="A1:G1"/>
    <mergeCell ref="A2:G2"/>
    <mergeCell ref="A3:G3"/>
    <mergeCell ref="A4:G4"/>
    <mergeCell ref="A5:G5"/>
    <mergeCell ref="B6:G6"/>
    <mergeCell ref="B7:G7"/>
    <mergeCell ref="B8:G8"/>
    <mergeCell ref="B9:G9"/>
    <mergeCell ref="B10:G10"/>
    <mergeCell ref="B11:G11"/>
    <mergeCell ref="B12:G12"/>
    <mergeCell ref="B13:G13"/>
    <mergeCell ref="B14:G14"/>
    <mergeCell ref="A16:G16"/>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A1" sqref="A1:F1"/>
    </sheetView>
  </sheetViews>
  <sheetFormatPr defaultColWidth="8.67592592592593" defaultRowHeight="14.4" outlineLevelCol="5"/>
  <cols>
    <col min="1" max="1" width="6" style="1" customWidth="1"/>
    <col min="2" max="2" width="25" style="1" customWidth="1"/>
    <col min="3" max="3" width="50" style="1" customWidth="1"/>
    <col min="4" max="4" width="18" style="1" customWidth="1"/>
    <col min="5" max="5" width="12" style="1" customWidth="1"/>
    <col min="6" max="6" width="20" style="1" customWidth="1"/>
  </cols>
  <sheetData>
    <row r="1" ht="30" customHeight="1" spans="1:6">
      <c r="A1" s="20" t="s">
        <v>22</v>
      </c>
      <c r="B1" s="20"/>
      <c r="C1" s="20"/>
      <c r="D1" s="20"/>
      <c r="E1" s="20"/>
      <c r="F1" s="20"/>
    </row>
    <row r="2" ht="15" customHeight="1" spans="1:6">
      <c r="A2" s="6" t="s">
        <v>23</v>
      </c>
      <c r="B2" s="6" t="s">
        <v>24</v>
      </c>
      <c r="C2" s="6" t="s">
        <v>25</v>
      </c>
      <c r="D2" s="6" t="s">
        <v>26</v>
      </c>
      <c r="E2" s="6" t="s">
        <v>27</v>
      </c>
      <c r="F2" s="6" t="s">
        <v>28</v>
      </c>
    </row>
    <row r="3" ht="45" customHeight="1" spans="1:6">
      <c r="A3" s="80">
        <v>1</v>
      </c>
      <c r="B3" s="81" t="s">
        <v>29</v>
      </c>
      <c r="C3" s="81" t="s">
        <v>30</v>
      </c>
      <c r="D3" s="80" t="s">
        <v>31</v>
      </c>
      <c r="E3" s="80">
        <v>3</v>
      </c>
      <c r="F3" s="81" t="s">
        <v>32</v>
      </c>
    </row>
    <row r="4" ht="45" customHeight="1" spans="1:6">
      <c r="A4" s="80">
        <v>2</v>
      </c>
      <c r="B4" s="81" t="s">
        <v>33</v>
      </c>
      <c r="C4" s="81" t="s">
        <v>34</v>
      </c>
      <c r="D4" s="80" t="s">
        <v>31</v>
      </c>
      <c r="E4" s="80">
        <v>3</v>
      </c>
      <c r="F4" s="81" t="s">
        <v>35</v>
      </c>
    </row>
    <row r="5" ht="45" customHeight="1" spans="1:6">
      <c r="A5" s="80">
        <v>3</v>
      </c>
      <c r="B5" s="81" t="s">
        <v>36</v>
      </c>
      <c r="C5" s="81" t="s">
        <v>37</v>
      </c>
      <c r="D5" s="80" t="s">
        <v>31</v>
      </c>
      <c r="E5" s="80">
        <v>3</v>
      </c>
      <c r="F5" s="81" t="s">
        <v>38</v>
      </c>
    </row>
    <row r="6" ht="45" customHeight="1" spans="1:6">
      <c r="A6" s="80">
        <v>4</v>
      </c>
      <c r="B6" s="81" t="s">
        <v>39</v>
      </c>
      <c r="C6" s="81" t="s">
        <v>40</v>
      </c>
      <c r="D6" s="80" t="s">
        <v>41</v>
      </c>
      <c r="E6" s="80">
        <v>2</v>
      </c>
      <c r="F6" s="81" t="s">
        <v>42</v>
      </c>
    </row>
    <row r="7" ht="45" customHeight="1" spans="1:6">
      <c r="A7" s="80">
        <v>5</v>
      </c>
      <c r="B7" s="81" t="s">
        <v>43</v>
      </c>
      <c r="C7" s="81" t="s">
        <v>44</v>
      </c>
      <c r="D7" s="80" t="s">
        <v>45</v>
      </c>
      <c r="E7" s="80">
        <v>1</v>
      </c>
      <c r="F7" s="81" t="s">
        <v>46</v>
      </c>
    </row>
    <row r="9" ht="15" customHeight="1" spans="1:6">
      <c r="A9" s="32" t="s">
        <v>47</v>
      </c>
      <c r="B9" s="32"/>
      <c r="C9" s="32"/>
      <c r="D9" s="32"/>
      <c r="E9" s="32"/>
      <c r="F9" s="32"/>
    </row>
    <row r="10" ht="15" customHeight="1" spans="1:6">
      <c r="A10" s="5" t="s">
        <v>48</v>
      </c>
      <c r="B10" s="5"/>
      <c r="C10" s="5"/>
      <c r="D10" s="5"/>
      <c r="E10" s="5"/>
      <c r="F10" s="5"/>
    </row>
    <row r="11" ht="15" customHeight="1" spans="1:6">
      <c r="A11" s="5" t="s">
        <v>49</v>
      </c>
      <c r="B11" s="5"/>
      <c r="C11" s="5"/>
      <c r="D11" s="5"/>
      <c r="E11" s="5"/>
      <c r="F11" s="5"/>
    </row>
    <row r="12" ht="15" customHeight="1" spans="1:6">
      <c r="A12" s="5" t="s">
        <v>50</v>
      </c>
      <c r="B12" s="5"/>
      <c r="C12" s="5"/>
      <c r="D12" s="5"/>
      <c r="E12" s="5"/>
      <c r="F12" s="5"/>
    </row>
  </sheetData>
  <mergeCells count="5">
    <mergeCell ref="A1:F1"/>
    <mergeCell ref="A9:F9"/>
    <mergeCell ref="A10:F10"/>
    <mergeCell ref="A11:F11"/>
    <mergeCell ref="A12:F12"/>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workbookViewId="0">
      <selection activeCell="A1" sqref="A1:G1"/>
    </sheetView>
  </sheetViews>
  <sheetFormatPr defaultColWidth="8.67592592592593" defaultRowHeight="14.4" outlineLevelCol="6"/>
  <cols>
    <col min="1" max="1" width="7" style="1" customWidth="1"/>
    <col min="2" max="2" width="30" style="1" customWidth="1"/>
    <col min="3" max="3" width="45" style="1" customWidth="1"/>
    <col min="4" max="4" width="18" style="1" customWidth="1"/>
    <col min="5" max="5" width="10" style="1" customWidth="1"/>
    <col min="6" max="6" width="18" style="1" customWidth="1"/>
    <col min="7" max="7" width="14" style="1" customWidth="1"/>
  </cols>
  <sheetData>
    <row r="1" ht="30" customHeight="1" spans="1:7">
      <c r="A1" s="20" t="s">
        <v>51</v>
      </c>
      <c r="B1" s="20"/>
      <c r="C1" s="20"/>
      <c r="D1" s="20"/>
      <c r="E1" s="20"/>
      <c r="F1" s="20"/>
      <c r="G1" s="20"/>
    </row>
    <row r="2" ht="23.25" customHeight="1" spans="1:7">
      <c r="A2" s="6" t="s">
        <v>52</v>
      </c>
      <c r="B2" s="6" t="s">
        <v>53</v>
      </c>
      <c r="C2" s="6" t="s">
        <v>54</v>
      </c>
      <c r="D2" s="6" t="s">
        <v>55</v>
      </c>
      <c r="E2" s="6" t="s">
        <v>56</v>
      </c>
      <c r="F2" s="6" t="s">
        <v>57</v>
      </c>
      <c r="G2" s="6" t="s">
        <v>58</v>
      </c>
    </row>
    <row r="3" ht="39.75" customHeight="1" spans="1:7">
      <c r="A3" s="80" t="s">
        <v>59</v>
      </c>
      <c r="B3" s="81" t="s">
        <v>60</v>
      </c>
      <c r="C3" s="81" t="s">
        <v>61</v>
      </c>
      <c r="D3" s="81" t="s">
        <v>62</v>
      </c>
      <c r="E3" s="80">
        <v>49</v>
      </c>
      <c r="F3" s="82" t="s">
        <v>63</v>
      </c>
      <c r="G3" s="80" t="s">
        <v>31</v>
      </c>
    </row>
    <row r="4" ht="39.75" customHeight="1" spans="1:7">
      <c r="A4" s="80" t="s">
        <v>64</v>
      </c>
      <c r="B4" s="81" t="s">
        <v>65</v>
      </c>
      <c r="C4" s="81" t="s">
        <v>66</v>
      </c>
      <c r="D4" s="81" t="s">
        <v>67</v>
      </c>
      <c r="E4" s="80">
        <v>40</v>
      </c>
      <c r="F4" s="83" t="s">
        <v>68</v>
      </c>
      <c r="G4" s="80" t="s">
        <v>41</v>
      </c>
    </row>
    <row r="5" ht="39.75" customHeight="1" spans="1:7">
      <c r="A5" s="80" t="s">
        <v>69</v>
      </c>
      <c r="B5" s="81" t="s">
        <v>70</v>
      </c>
      <c r="C5" s="81" t="s">
        <v>71</v>
      </c>
      <c r="D5" s="81" t="s">
        <v>72</v>
      </c>
      <c r="E5" s="80">
        <v>62</v>
      </c>
      <c r="F5" s="82" t="s">
        <v>63</v>
      </c>
      <c r="G5" s="80" t="s">
        <v>31</v>
      </c>
    </row>
    <row r="6" ht="39.75" customHeight="1" spans="1:7">
      <c r="A6" s="80" t="s">
        <v>73</v>
      </c>
      <c r="B6" s="81" t="s">
        <v>74</v>
      </c>
      <c r="C6" s="81" t="s">
        <v>75</v>
      </c>
      <c r="D6" s="81" t="s">
        <v>67</v>
      </c>
      <c r="E6" s="80">
        <v>40</v>
      </c>
      <c r="F6" s="84" t="s">
        <v>76</v>
      </c>
      <c r="G6" s="80" t="s">
        <v>45</v>
      </c>
    </row>
    <row r="7" ht="39.75" customHeight="1" spans="1:7">
      <c r="A7" s="80" t="s">
        <v>77</v>
      </c>
      <c r="B7" s="81" t="s">
        <v>78</v>
      </c>
      <c r="C7" s="81" t="s">
        <v>79</v>
      </c>
      <c r="D7" s="81" t="s">
        <v>62</v>
      </c>
      <c r="E7" s="80">
        <v>49</v>
      </c>
      <c r="F7" s="83" t="s">
        <v>68</v>
      </c>
      <c r="G7" s="80" t="s">
        <v>41</v>
      </c>
    </row>
    <row r="8" ht="39.75" customHeight="1" spans="1:7">
      <c r="A8" s="80" t="s">
        <v>80</v>
      </c>
      <c r="B8" s="81" t="s">
        <v>81</v>
      </c>
      <c r="C8" s="81" t="s">
        <v>82</v>
      </c>
      <c r="D8" s="81" t="s">
        <v>62</v>
      </c>
      <c r="E8" s="80">
        <v>49</v>
      </c>
      <c r="F8" s="84" t="s">
        <v>76</v>
      </c>
      <c r="G8" s="80" t="s">
        <v>45</v>
      </c>
    </row>
    <row r="9" ht="39.75" customHeight="1" spans="1:7">
      <c r="A9" s="80" t="s">
        <v>83</v>
      </c>
      <c r="B9" s="81" t="s">
        <v>84</v>
      </c>
      <c r="C9" s="81" t="s">
        <v>85</v>
      </c>
      <c r="D9" s="81" t="s">
        <v>67</v>
      </c>
      <c r="E9" s="80">
        <v>40</v>
      </c>
      <c r="F9" s="84" t="s">
        <v>76</v>
      </c>
      <c r="G9" s="80" t="s">
        <v>45</v>
      </c>
    </row>
    <row r="10" ht="39.75" customHeight="1" spans="1:7">
      <c r="A10" s="80" t="s">
        <v>86</v>
      </c>
      <c r="B10" s="81" t="s">
        <v>87</v>
      </c>
      <c r="C10" s="81" t="s">
        <v>88</v>
      </c>
      <c r="D10" s="81" t="s">
        <v>72</v>
      </c>
      <c r="E10" s="80">
        <v>62</v>
      </c>
      <c r="F10" s="83" t="s">
        <v>68</v>
      </c>
      <c r="G10" s="80" t="s">
        <v>41</v>
      </c>
    </row>
    <row r="11" ht="39.75" customHeight="1" spans="1:7">
      <c r="A11" s="80" t="s">
        <v>89</v>
      </c>
      <c r="B11" s="81" t="s">
        <v>90</v>
      </c>
      <c r="C11" s="81" t="s">
        <v>91</v>
      </c>
      <c r="D11" s="81" t="s">
        <v>92</v>
      </c>
      <c r="E11" s="80">
        <v>67</v>
      </c>
      <c r="F11" s="82" t="s">
        <v>63</v>
      </c>
      <c r="G11" s="80" t="s">
        <v>31</v>
      </c>
    </row>
    <row r="12" ht="39.75" customHeight="1" spans="1:7">
      <c r="A12" s="80" t="s">
        <v>93</v>
      </c>
      <c r="B12" s="81" t="s">
        <v>94</v>
      </c>
      <c r="C12" s="81" t="s">
        <v>95</v>
      </c>
      <c r="D12" s="81" t="s">
        <v>92</v>
      </c>
      <c r="E12" s="80">
        <v>67</v>
      </c>
      <c r="F12" s="82" t="s">
        <v>63</v>
      </c>
      <c r="G12" s="80" t="s">
        <v>31</v>
      </c>
    </row>
    <row r="13" ht="39.75" customHeight="1" spans="1:7">
      <c r="A13" s="80" t="s">
        <v>96</v>
      </c>
      <c r="B13" s="81" t="s">
        <v>97</v>
      </c>
      <c r="C13" s="81" t="s">
        <v>98</v>
      </c>
      <c r="D13" s="81" t="s">
        <v>72</v>
      </c>
      <c r="E13" s="80">
        <v>62</v>
      </c>
      <c r="F13" s="82" t="s">
        <v>63</v>
      </c>
      <c r="G13" s="80" t="s">
        <v>31</v>
      </c>
    </row>
    <row r="14" ht="39.75" customHeight="1" spans="1:7">
      <c r="A14" s="80" t="s">
        <v>99</v>
      </c>
      <c r="B14" s="81" t="s">
        <v>100</v>
      </c>
      <c r="C14" s="81" t="s">
        <v>101</v>
      </c>
      <c r="D14" s="81" t="s">
        <v>102</v>
      </c>
      <c r="E14" s="80">
        <v>59</v>
      </c>
      <c r="F14" s="82" t="s">
        <v>63</v>
      </c>
      <c r="G14" s="80" t="s">
        <v>31</v>
      </c>
    </row>
    <row r="15" ht="39.75" customHeight="1" spans="1:7">
      <c r="A15" s="80" t="s">
        <v>103</v>
      </c>
      <c r="B15" s="81" t="s">
        <v>104</v>
      </c>
      <c r="C15" s="81" t="s">
        <v>105</v>
      </c>
      <c r="D15" s="81" t="s">
        <v>106</v>
      </c>
      <c r="E15" s="80">
        <v>56</v>
      </c>
      <c r="F15" s="82" t="s">
        <v>63</v>
      </c>
      <c r="G15" s="80" t="s">
        <v>31</v>
      </c>
    </row>
    <row r="16" ht="39.75" customHeight="1" spans="1:7">
      <c r="A16" s="80" t="s">
        <v>107</v>
      </c>
      <c r="B16" s="81" t="s">
        <v>108</v>
      </c>
      <c r="C16" s="81" t="s">
        <v>109</v>
      </c>
      <c r="D16" s="81" t="s">
        <v>106</v>
      </c>
      <c r="E16" s="80">
        <v>56</v>
      </c>
      <c r="F16" s="82" t="s">
        <v>63</v>
      </c>
      <c r="G16" s="80" t="s">
        <v>31</v>
      </c>
    </row>
    <row r="17" ht="39.75" customHeight="1" spans="1:7">
      <c r="A17" s="80" t="s">
        <v>110</v>
      </c>
      <c r="B17" s="81" t="s">
        <v>111</v>
      </c>
      <c r="C17" s="81" t="s">
        <v>112</v>
      </c>
      <c r="D17" s="81" t="s">
        <v>113</v>
      </c>
      <c r="E17" s="80">
        <v>59</v>
      </c>
      <c r="F17" s="82" t="s">
        <v>63</v>
      </c>
      <c r="G17" s="80" t="s">
        <v>31</v>
      </c>
    </row>
    <row r="18" ht="39.75" customHeight="1" spans="1:7">
      <c r="A18" s="80" t="s">
        <v>114</v>
      </c>
      <c r="B18" s="81" t="s">
        <v>115</v>
      </c>
      <c r="C18" s="81" t="s">
        <v>116</v>
      </c>
      <c r="D18" s="81" t="s">
        <v>117</v>
      </c>
      <c r="E18" s="80">
        <v>51</v>
      </c>
      <c r="F18" s="82" t="s">
        <v>63</v>
      </c>
      <c r="G18" s="80" t="s">
        <v>31</v>
      </c>
    </row>
    <row r="19" ht="39.75" customHeight="1" spans="1:7">
      <c r="A19" s="80" t="s">
        <v>118</v>
      </c>
      <c r="B19" s="81" t="s">
        <v>119</v>
      </c>
      <c r="C19" s="81" t="s">
        <v>120</v>
      </c>
      <c r="D19" s="81" t="s">
        <v>121</v>
      </c>
      <c r="E19" s="80">
        <v>30</v>
      </c>
      <c r="F19" s="83" t="s">
        <v>68</v>
      </c>
      <c r="G19" s="80" t="s">
        <v>41</v>
      </c>
    </row>
    <row r="21" ht="19.5" customHeight="1" spans="1:7">
      <c r="A21" s="19" t="s">
        <v>122</v>
      </c>
      <c r="B21" s="19"/>
      <c r="C21" s="19"/>
      <c r="D21" s="19"/>
      <c r="E21" s="19"/>
      <c r="F21" s="19"/>
      <c r="G21" s="19"/>
    </row>
    <row r="22" ht="15" customHeight="1" spans="1:7">
      <c r="A22" s="6" t="s">
        <v>123</v>
      </c>
      <c r="B22" s="6" t="s">
        <v>124</v>
      </c>
      <c r="C22" s="6" t="s">
        <v>125</v>
      </c>
      <c r="D22" s="6" t="s">
        <v>126</v>
      </c>
      <c r="E22" s="6" t="s">
        <v>28</v>
      </c>
      <c r="F22" s="6"/>
      <c r="G22" s="6"/>
    </row>
    <row r="23" ht="18" customHeight="1" spans="1:7">
      <c r="A23" s="85" t="s">
        <v>76</v>
      </c>
      <c r="B23" s="12" t="s">
        <v>127</v>
      </c>
      <c r="C23" s="12">
        <v>3</v>
      </c>
      <c r="D23" s="12">
        <f>SUM(E5,E8,E9)</f>
        <v>151</v>
      </c>
      <c r="E23" s="12" t="s">
        <v>128</v>
      </c>
      <c r="F23" s="29"/>
      <c r="G23" s="29"/>
    </row>
    <row r="24" ht="18" customHeight="1" spans="1:7">
      <c r="A24" s="85" t="s">
        <v>68</v>
      </c>
      <c r="B24" s="12" t="s">
        <v>129</v>
      </c>
      <c r="C24" s="12">
        <v>4</v>
      </c>
      <c r="D24" s="12">
        <f>SUM(E7,E10,E20)</f>
        <v>111</v>
      </c>
      <c r="E24" s="12" t="s">
        <v>130</v>
      </c>
      <c r="F24" s="29"/>
      <c r="G24" s="29"/>
    </row>
    <row r="25" ht="18" customHeight="1" spans="1:7">
      <c r="A25" s="85" t="s">
        <v>63</v>
      </c>
      <c r="B25" s="12" t="s">
        <v>131</v>
      </c>
      <c r="C25" s="12">
        <v>10</v>
      </c>
      <c r="D25" s="12">
        <f>SUM(E4,E5,E6,E11,E13,E14,E15,E16,E17,E18)</f>
        <v>552</v>
      </c>
      <c r="E25" s="12" t="s">
        <v>132</v>
      </c>
      <c r="F25" s="29"/>
      <c r="G25" s="29"/>
    </row>
    <row r="26" ht="18" customHeight="1" spans="1:7">
      <c r="A26" s="85" t="s">
        <v>133</v>
      </c>
      <c r="B26" s="12"/>
      <c r="C26" s="12">
        <f>SUM(C23:C25)</f>
        <v>17</v>
      </c>
      <c r="D26" s="12">
        <v>513</v>
      </c>
      <c r="E26" s="12" t="s">
        <v>134</v>
      </c>
      <c r="F26" s="29"/>
      <c r="G26" s="29"/>
    </row>
  </sheetData>
  <mergeCells count="3">
    <mergeCell ref="A1:G1"/>
    <mergeCell ref="A21:G21"/>
    <mergeCell ref="E22:G22"/>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selection activeCell="A1" sqref="A1:F1"/>
    </sheetView>
  </sheetViews>
  <sheetFormatPr defaultColWidth="8.67592592592593" defaultRowHeight="14.4" outlineLevelCol="5"/>
  <cols>
    <col min="1" max="1" width="6" style="1" customWidth="1"/>
    <col min="2" max="2" width="22" style="1" customWidth="1"/>
    <col min="3" max="3" width="12" style="1" customWidth="1"/>
    <col min="4" max="4" width="14" style="1" customWidth="1"/>
    <col min="5" max="5" width="12" style="1" customWidth="1"/>
    <col min="6" max="6" width="30" style="1" customWidth="1"/>
  </cols>
  <sheetData>
    <row r="1" ht="30" customHeight="1" spans="1:6">
      <c r="A1" s="20" t="s">
        <v>135</v>
      </c>
      <c r="B1" s="20"/>
      <c r="C1" s="20"/>
      <c r="D1" s="20"/>
      <c r="E1" s="20"/>
      <c r="F1" s="20"/>
    </row>
    <row r="2" ht="15" customHeight="1" spans="1:6">
      <c r="A2" s="6" t="s">
        <v>23</v>
      </c>
      <c r="B2" s="6" t="s">
        <v>136</v>
      </c>
      <c r="C2" s="6" t="s">
        <v>27</v>
      </c>
      <c r="D2" s="6" t="s">
        <v>137</v>
      </c>
      <c r="E2" s="6" t="s">
        <v>138</v>
      </c>
      <c r="F2" s="6" t="s">
        <v>139</v>
      </c>
    </row>
    <row r="3" ht="21.75" customHeight="1" spans="1:6">
      <c r="A3" s="12">
        <v>1</v>
      </c>
      <c r="B3" s="12" t="s">
        <v>45</v>
      </c>
      <c r="C3" s="12">
        <v>1</v>
      </c>
      <c r="D3" s="12">
        <v>1</v>
      </c>
      <c r="E3" s="12">
        <f>C3*D3</f>
        <v>1</v>
      </c>
      <c r="F3" s="13" t="s">
        <v>140</v>
      </c>
    </row>
    <row r="4" ht="21.75" customHeight="1" spans="1:6">
      <c r="A4" s="12">
        <v>2</v>
      </c>
      <c r="B4" s="12" t="s">
        <v>41</v>
      </c>
      <c r="C4" s="12">
        <v>2</v>
      </c>
      <c r="D4" s="12">
        <v>1</v>
      </c>
      <c r="E4" s="12">
        <f>C4*D4</f>
        <v>2</v>
      </c>
      <c r="F4" s="13" t="s">
        <v>141</v>
      </c>
    </row>
    <row r="5" ht="21.75" customHeight="1" spans="1:6">
      <c r="A5" s="12">
        <v>3</v>
      </c>
      <c r="B5" s="12" t="s">
        <v>31</v>
      </c>
      <c r="C5" s="12">
        <v>3</v>
      </c>
      <c r="D5" s="12">
        <v>3</v>
      </c>
      <c r="E5" s="12">
        <f>C5*D5</f>
        <v>9</v>
      </c>
      <c r="F5" s="13" t="s">
        <v>142</v>
      </c>
    </row>
    <row r="6" ht="19.5" customHeight="1" spans="1:6">
      <c r="A6" s="75" t="s">
        <v>143</v>
      </c>
      <c r="B6" s="75"/>
      <c r="C6" s="75"/>
      <c r="D6" s="75">
        <f>SUM(D3:D5)</f>
        <v>5</v>
      </c>
      <c r="E6" s="75">
        <f>SUM(E3:E5)</f>
        <v>12</v>
      </c>
      <c r="F6" s="76" t="s">
        <v>144</v>
      </c>
    </row>
    <row r="7" ht="24" customHeight="1" spans="1:6">
      <c r="A7" s="77" t="s">
        <v>145</v>
      </c>
      <c r="B7" s="77"/>
      <c r="C7" s="77"/>
      <c r="D7" s="77"/>
      <c r="E7" s="78">
        <f>E6</f>
        <v>12</v>
      </c>
      <c r="F7" s="79" t="s">
        <v>146</v>
      </c>
    </row>
    <row r="9" ht="15" customHeight="1" spans="1:6">
      <c r="A9" s="33" t="s">
        <v>147</v>
      </c>
      <c r="B9" s="33"/>
      <c r="C9" s="33"/>
      <c r="D9" s="33"/>
      <c r="E9" s="33"/>
      <c r="F9" s="33"/>
    </row>
    <row r="10" ht="15" customHeight="1" spans="1:6">
      <c r="A10" s="33" t="s">
        <v>148</v>
      </c>
      <c r="B10" s="33"/>
      <c r="C10" s="33"/>
      <c r="D10" s="33"/>
      <c r="E10" s="33"/>
      <c r="F10" s="33"/>
    </row>
  </sheetData>
  <mergeCells count="5">
    <mergeCell ref="A1:F1"/>
    <mergeCell ref="A6:C6"/>
    <mergeCell ref="A7:D7"/>
    <mergeCell ref="A9:F9"/>
    <mergeCell ref="A10:F10"/>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workbookViewId="0">
      <selection activeCell="A1" sqref="A1:G1"/>
    </sheetView>
  </sheetViews>
  <sheetFormatPr defaultColWidth="8.67592592592593" defaultRowHeight="14.4" outlineLevelCol="6"/>
  <cols>
    <col min="1" max="1" width="6" style="1" customWidth="1"/>
    <col min="2" max="2" width="22" style="1" customWidth="1"/>
    <col min="3" max="3" width="12" style="1" customWidth="1"/>
    <col min="4" max="4" width="14" style="1" customWidth="1"/>
    <col min="5" max="6" width="12" style="1" customWidth="1"/>
    <col min="7" max="7" width="28" style="1" customWidth="1"/>
  </cols>
  <sheetData>
    <row r="1" ht="30" customHeight="1" spans="1:7">
      <c r="A1" s="20" t="s">
        <v>149</v>
      </c>
      <c r="B1" s="20"/>
      <c r="C1" s="20"/>
      <c r="D1" s="20"/>
      <c r="E1" s="20"/>
      <c r="F1" s="20"/>
      <c r="G1" s="20"/>
    </row>
    <row r="2" ht="15" customHeight="1" spans="1:7">
      <c r="A2" s="6" t="s">
        <v>23</v>
      </c>
      <c r="B2" s="6" t="s">
        <v>150</v>
      </c>
      <c r="C2" s="6" t="s">
        <v>27</v>
      </c>
      <c r="D2" s="6" t="s">
        <v>151</v>
      </c>
      <c r="E2" s="6" t="s">
        <v>125</v>
      </c>
      <c r="F2" s="6" t="s">
        <v>138</v>
      </c>
      <c r="G2" s="6" t="s">
        <v>28</v>
      </c>
    </row>
    <row r="3" ht="19.5" customHeight="1" spans="1:7">
      <c r="A3" s="58">
        <v>1</v>
      </c>
      <c r="B3" s="59" t="s">
        <v>152</v>
      </c>
      <c r="C3" s="60">
        <v>5</v>
      </c>
      <c r="D3" s="60">
        <v>1</v>
      </c>
      <c r="E3" s="61">
        <v>3</v>
      </c>
      <c r="F3" s="62">
        <f t="shared" ref="F3:F11" si="0">C3*D3*E3</f>
        <v>15</v>
      </c>
      <c r="G3" s="59" t="s">
        <v>153</v>
      </c>
    </row>
    <row r="4" ht="19.5" customHeight="1" spans="1:7">
      <c r="A4" s="58"/>
      <c r="B4" s="59" t="s">
        <v>154</v>
      </c>
      <c r="C4" s="60">
        <v>10</v>
      </c>
      <c r="D4" s="60">
        <v>1</v>
      </c>
      <c r="E4" s="61">
        <v>0</v>
      </c>
      <c r="F4" s="62">
        <f t="shared" si="0"/>
        <v>0</v>
      </c>
      <c r="G4" s="59"/>
    </row>
    <row r="5" ht="19.5" customHeight="1" spans="1:7">
      <c r="A5" s="58"/>
      <c r="B5" s="59" t="s">
        <v>155</v>
      </c>
      <c r="C5" s="60">
        <v>15</v>
      </c>
      <c r="D5" s="60">
        <v>1</v>
      </c>
      <c r="E5" s="61">
        <v>0</v>
      </c>
      <c r="F5" s="62">
        <f t="shared" si="0"/>
        <v>0</v>
      </c>
      <c r="G5" s="59"/>
    </row>
    <row r="6" ht="19.5" customHeight="1" spans="1:7">
      <c r="A6" s="63">
        <v>2</v>
      </c>
      <c r="B6" s="64" t="s">
        <v>156</v>
      </c>
      <c r="C6" s="65">
        <v>5</v>
      </c>
      <c r="D6" s="65">
        <v>1.2</v>
      </c>
      <c r="E6" s="66">
        <v>0</v>
      </c>
      <c r="F6" s="67">
        <f t="shared" si="0"/>
        <v>0</v>
      </c>
      <c r="G6" s="64"/>
    </row>
    <row r="7" ht="19.5" customHeight="1" spans="1:7">
      <c r="A7" s="63"/>
      <c r="B7" s="64" t="s">
        <v>157</v>
      </c>
      <c r="C7" s="65">
        <v>10</v>
      </c>
      <c r="D7" s="65">
        <v>1.2</v>
      </c>
      <c r="E7" s="66">
        <v>4</v>
      </c>
      <c r="F7" s="67">
        <f t="shared" si="0"/>
        <v>48</v>
      </c>
      <c r="G7" s="64" t="s">
        <v>158</v>
      </c>
    </row>
    <row r="8" ht="19.5" customHeight="1" spans="1:7">
      <c r="A8" s="63"/>
      <c r="B8" s="64" t="s">
        <v>159</v>
      </c>
      <c r="C8" s="65">
        <v>15</v>
      </c>
      <c r="D8" s="65">
        <v>1.2</v>
      </c>
      <c r="E8" s="66">
        <v>0</v>
      </c>
      <c r="F8" s="67">
        <f t="shared" si="0"/>
        <v>0</v>
      </c>
      <c r="G8" s="64"/>
    </row>
    <row r="9" ht="19.5" customHeight="1" spans="1:7">
      <c r="A9" s="68">
        <v>3</v>
      </c>
      <c r="B9" s="69" t="s">
        <v>160</v>
      </c>
      <c r="C9" s="70">
        <v>5</v>
      </c>
      <c r="D9" s="70">
        <v>1.5</v>
      </c>
      <c r="E9" s="55">
        <v>0</v>
      </c>
      <c r="F9" s="71">
        <f t="shared" si="0"/>
        <v>0</v>
      </c>
      <c r="G9" s="69"/>
    </row>
    <row r="10" ht="19.5" customHeight="1" spans="1:7">
      <c r="A10" s="68"/>
      <c r="B10" s="69" t="s">
        <v>161</v>
      </c>
      <c r="C10" s="70">
        <v>10</v>
      </c>
      <c r="D10" s="70">
        <v>1.5</v>
      </c>
      <c r="E10" s="55">
        <v>0</v>
      </c>
      <c r="F10" s="71">
        <f t="shared" si="0"/>
        <v>0</v>
      </c>
      <c r="G10" s="69"/>
    </row>
    <row r="11" ht="19.5" customHeight="1" spans="1:7">
      <c r="A11" s="68"/>
      <c r="B11" s="69" t="s">
        <v>162</v>
      </c>
      <c r="C11" s="70">
        <v>15</v>
      </c>
      <c r="D11" s="70">
        <v>1.5</v>
      </c>
      <c r="E11" s="55">
        <v>10</v>
      </c>
      <c r="F11" s="71">
        <f t="shared" si="0"/>
        <v>225</v>
      </c>
      <c r="G11" s="69" t="s">
        <v>163</v>
      </c>
    </row>
    <row r="12" ht="19.5" customHeight="1" spans="1:7">
      <c r="A12" s="41" t="s">
        <v>143</v>
      </c>
      <c r="B12" s="41"/>
      <c r="C12" s="41"/>
      <c r="D12" s="41"/>
      <c r="E12" s="21">
        <f>SUM(E3:E11)</f>
        <v>17</v>
      </c>
      <c r="F12" s="72">
        <f>SUM(F3:F11)</f>
        <v>288</v>
      </c>
      <c r="G12" s="22" t="s">
        <v>164</v>
      </c>
    </row>
    <row r="13" ht="21.75" customHeight="1" spans="1:7">
      <c r="A13" s="73" t="s">
        <v>165</v>
      </c>
      <c r="B13" s="73"/>
      <c r="C13" s="73"/>
      <c r="D13" s="73"/>
      <c r="E13" s="29"/>
      <c r="F13" s="74">
        <f>F12</f>
        <v>288</v>
      </c>
      <c r="G13" s="22" t="s">
        <v>166</v>
      </c>
    </row>
    <row r="15" ht="15" customHeight="1" spans="1:7">
      <c r="A15" s="33" t="s">
        <v>167</v>
      </c>
      <c r="B15" s="33"/>
      <c r="C15" s="33"/>
      <c r="D15" s="33"/>
      <c r="E15" s="33"/>
      <c r="F15" s="33"/>
      <c r="G15" s="33"/>
    </row>
    <row r="16" ht="15" customHeight="1" spans="1:7">
      <c r="A16" s="33" t="s">
        <v>168</v>
      </c>
      <c r="B16" s="33"/>
      <c r="C16" s="33"/>
      <c r="D16" s="33"/>
      <c r="E16" s="33"/>
      <c r="F16" s="33"/>
      <c r="G16" s="33"/>
    </row>
  </sheetData>
  <mergeCells count="5">
    <mergeCell ref="A1:G1"/>
    <mergeCell ref="A12:D12"/>
    <mergeCell ref="A13:D13"/>
    <mergeCell ref="A15:G15"/>
    <mergeCell ref="A16:G16"/>
  </mergeCell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
  <sheetViews>
    <sheetView workbookViewId="0">
      <selection activeCell="A1" sqref="A1:F1"/>
    </sheetView>
  </sheetViews>
  <sheetFormatPr defaultColWidth="8.67592592592593" defaultRowHeight="14.4" outlineLevelCol="5"/>
  <cols>
    <col min="1" max="1" width="6" style="1" customWidth="1"/>
    <col min="2" max="2" width="35" style="1" customWidth="1"/>
    <col min="3" max="4" width="12" style="1" customWidth="1"/>
    <col min="5" max="5" width="14" style="1" customWidth="1"/>
    <col min="6" max="6" width="32" style="1" customWidth="1"/>
  </cols>
  <sheetData>
    <row r="1" ht="30" customHeight="1" spans="1:6">
      <c r="A1" s="20" t="s">
        <v>169</v>
      </c>
      <c r="B1" s="20"/>
      <c r="C1" s="20"/>
      <c r="D1" s="20"/>
      <c r="E1" s="20"/>
      <c r="F1" s="20"/>
    </row>
    <row r="2" ht="19.5" customHeight="1" spans="1:6">
      <c r="A2" s="19" t="s">
        <v>170</v>
      </c>
      <c r="B2" s="19"/>
      <c r="C2" s="19"/>
      <c r="D2" s="19"/>
      <c r="E2" s="19"/>
      <c r="F2" s="19"/>
    </row>
    <row r="3" ht="23.25" customHeight="1" spans="1:6">
      <c r="A3" s="6" t="s">
        <v>171</v>
      </c>
      <c r="B3" s="6" t="s">
        <v>172</v>
      </c>
      <c r="C3" s="6" t="s">
        <v>173</v>
      </c>
      <c r="D3" s="6" t="s">
        <v>174</v>
      </c>
      <c r="E3" s="6" t="s">
        <v>175</v>
      </c>
      <c r="F3" s="6" t="s">
        <v>176</v>
      </c>
    </row>
    <row r="4" ht="19.5" customHeight="1" spans="1:6">
      <c r="A4" s="23" t="s">
        <v>177</v>
      </c>
      <c r="B4" s="36" t="s">
        <v>178</v>
      </c>
      <c r="C4" s="42">
        <v>2</v>
      </c>
      <c r="D4" s="23">
        <v>2</v>
      </c>
      <c r="E4" s="53">
        <f t="shared" ref="E4:E16" si="0">C4*D4</f>
        <v>4</v>
      </c>
      <c r="F4" s="26" t="s">
        <v>179</v>
      </c>
    </row>
    <row r="5" ht="19.5" customHeight="1" spans="1:6">
      <c r="A5" s="23" t="s">
        <v>180</v>
      </c>
      <c r="B5" s="36" t="s">
        <v>181</v>
      </c>
      <c r="C5" s="42">
        <v>1</v>
      </c>
      <c r="D5" s="23">
        <v>3</v>
      </c>
      <c r="E5" s="53">
        <f t="shared" si="0"/>
        <v>3</v>
      </c>
      <c r="F5" s="26" t="s">
        <v>182</v>
      </c>
    </row>
    <row r="6" ht="19.5" customHeight="1" spans="1:6">
      <c r="A6" s="23" t="s">
        <v>183</v>
      </c>
      <c r="B6" s="36" t="s">
        <v>184</v>
      </c>
      <c r="C6" s="42">
        <v>1</v>
      </c>
      <c r="D6" s="23">
        <v>4</v>
      </c>
      <c r="E6" s="53">
        <f t="shared" si="0"/>
        <v>4</v>
      </c>
      <c r="F6" s="26" t="s">
        <v>185</v>
      </c>
    </row>
    <row r="7" ht="19.5" customHeight="1" spans="1:6">
      <c r="A7" s="23" t="s">
        <v>186</v>
      </c>
      <c r="B7" s="36" t="s">
        <v>187</v>
      </c>
      <c r="C7" s="42">
        <v>1</v>
      </c>
      <c r="D7" s="23">
        <v>3</v>
      </c>
      <c r="E7" s="53">
        <f t="shared" si="0"/>
        <v>3</v>
      </c>
      <c r="F7" s="26" t="s">
        <v>188</v>
      </c>
    </row>
    <row r="8" ht="19.5" customHeight="1" spans="1:6">
      <c r="A8" s="23" t="s">
        <v>189</v>
      </c>
      <c r="B8" s="36" t="s">
        <v>190</v>
      </c>
      <c r="C8" s="42">
        <v>1</v>
      </c>
      <c r="D8" s="23">
        <v>3</v>
      </c>
      <c r="E8" s="53">
        <f t="shared" si="0"/>
        <v>3</v>
      </c>
      <c r="F8" s="26" t="s">
        <v>191</v>
      </c>
    </row>
    <row r="9" ht="19.5" customHeight="1" spans="1:6">
      <c r="A9" s="23" t="s">
        <v>192</v>
      </c>
      <c r="B9" s="36" t="s">
        <v>193</v>
      </c>
      <c r="C9" s="42">
        <v>0.5</v>
      </c>
      <c r="D9" s="23">
        <v>2</v>
      </c>
      <c r="E9" s="53">
        <f t="shared" si="0"/>
        <v>1</v>
      </c>
      <c r="F9" s="26" t="s">
        <v>194</v>
      </c>
    </row>
    <row r="10" ht="19.5" customHeight="1" spans="1:6">
      <c r="A10" s="23" t="s">
        <v>195</v>
      </c>
      <c r="B10" s="36" t="s">
        <v>196</v>
      </c>
      <c r="C10" s="42">
        <v>0.5</v>
      </c>
      <c r="D10" s="23">
        <v>3</v>
      </c>
      <c r="E10" s="53">
        <f t="shared" si="0"/>
        <v>1.5</v>
      </c>
      <c r="F10" s="26" t="s">
        <v>197</v>
      </c>
    </row>
    <row r="11" ht="19.5" customHeight="1" spans="1:6">
      <c r="A11" s="23" t="s">
        <v>198</v>
      </c>
      <c r="B11" s="36" t="s">
        <v>199</v>
      </c>
      <c r="C11" s="42">
        <v>2</v>
      </c>
      <c r="D11" s="23">
        <v>1</v>
      </c>
      <c r="E11" s="53">
        <f t="shared" si="0"/>
        <v>2</v>
      </c>
      <c r="F11" s="26" t="s">
        <v>200</v>
      </c>
    </row>
    <row r="12" ht="19.5" customHeight="1" spans="1:6">
      <c r="A12" s="23" t="s">
        <v>201</v>
      </c>
      <c r="B12" s="36" t="s">
        <v>202</v>
      </c>
      <c r="C12" s="42">
        <v>1</v>
      </c>
      <c r="D12" s="23">
        <v>3</v>
      </c>
      <c r="E12" s="53">
        <f t="shared" si="0"/>
        <v>3</v>
      </c>
      <c r="F12" s="26" t="s">
        <v>203</v>
      </c>
    </row>
    <row r="13" ht="19.5" customHeight="1" spans="1:6">
      <c r="A13" s="23" t="s">
        <v>204</v>
      </c>
      <c r="B13" s="36" t="s">
        <v>205</v>
      </c>
      <c r="C13" s="42">
        <v>1</v>
      </c>
      <c r="D13" s="23">
        <v>2</v>
      </c>
      <c r="E13" s="53">
        <f t="shared" si="0"/>
        <v>2</v>
      </c>
      <c r="F13" s="26" t="s">
        <v>206</v>
      </c>
    </row>
    <row r="14" ht="19.5" customHeight="1" spans="1:6">
      <c r="A14" s="23" t="s">
        <v>207</v>
      </c>
      <c r="B14" s="36" t="s">
        <v>208</v>
      </c>
      <c r="C14" s="42">
        <v>1</v>
      </c>
      <c r="D14" s="23">
        <v>4</v>
      </c>
      <c r="E14" s="53">
        <f t="shared" si="0"/>
        <v>4</v>
      </c>
      <c r="F14" s="26" t="s">
        <v>209</v>
      </c>
    </row>
    <row r="15" ht="19.5" customHeight="1" spans="1:6">
      <c r="A15" s="23" t="s">
        <v>210</v>
      </c>
      <c r="B15" s="36" t="s">
        <v>211</v>
      </c>
      <c r="C15" s="42">
        <v>1</v>
      </c>
      <c r="D15" s="23">
        <v>3</v>
      </c>
      <c r="E15" s="53">
        <f t="shared" si="0"/>
        <v>3</v>
      </c>
      <c r="F15" s="26" t="s">
        <v>212</v>
      </c>
    </row>
    <row r="16" ht="19.5" customHeight="1" spans="1:6">
      <c r="A16" s="23" t="s">
        <v>213</v>
      </c>
      <c r="B16" s="36" t="s">
        <v>214</v>
      </c>
      <c r="C16" s="42">
        <v>1</v>
      </c>
      <c r="D16" s="23">
        <v>2</v>
      </c>
      <c r="E16" s="53">
        <f t="shared" si="0"/>
        <v>2</v>
      </c>
      <c r="F16" s="26" t="s">
        <v>215</v>
      </c>
    </row>
    <row r="17" ht="19.5" customHeight="1" spans="1:6">
      <c r="A17" s="41" t="s">
        <v>216</v>
      </c>
      <c r="B17" s="41"/>
      <c r="C17" s="41"/>
      <c r="D17" s="41"/>
      <c r="E17" s="56">
        <f>SUM(E4:E16)</f>
        <v>35.5</v>
      </c>
      <c r="F17" s="22" t="s">
        <v>217</v>
      </c>
    </row>
    <row r="19" ht="19.5" customHeight="1" spans="1:6">
      <c r="A19" s="41" t="s">
        <v>218</v>
      </c>
      <c r="B19" s="41"/>
      <c r="C19" s="41"/>
      <c r="D19" s="41"/>
      <c r="E19" s="41"/>
      <c r="F19" s="41"/>
    </row>
    <row r="20" ht="21.75" customHeight="1" spans="1:6">
      <c r="A20" s="22" t="s">
        <v>219</v>
      </c>
      <c r="B20" s="22"/>
      <c r="C20" s="22"/>
      <c r="D20" s="22"/>
      <c r="E20" s="57">
        <f>0.6+(0.01*E17)</f>
        <v>0.955</v>
      </c>
      <c r="F20" s="22" t="s">
        <v>220</v>
      </c>
    </row>
  </sheetData>
  <mergeCells count="5">
    <mergeCell ref="A1:F1"/>
    <mergeCell ref="A2:F2"/>
    <mergeCell ref="A17:D17"/>
    <mergeCell ref="A19:F19"/>
    <mergeCell ref="A20:D20"/>
  </mergeCells>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selection activeCell="A1" sqref="A1:F1"/>
    </sheetView>
  </sheetViews>
  <sheetFormatPr defaultColWidth="8.67592592592593" defaultRowHeight="14.4" outlineLevelCol="5"/>
  <cols>
    <col min="1" max="1" width="6" style="1" customWidth="1"/>
    <col min="2" max="2" width="35" style="1" customWidth="1"/>
    <col min="3" max="4" width="12" style="1" customWidth="1"/>
    <col min="5" max="5" width="14" style="1" customWidth="1"/>
    <col min="6" max="6" width="36" style="1" customWidth="1"/>
  </cols>
  <sheetData>
    <row r="1" ht="30" customHeight="1" spans="1:6">
      <c r="A1" s="20" t="s">
        <v>221</v>
      </c>
      <c r="B1" s="20"/>
      <c r="C1" s="20"/>
      <c r="D1" s="20"/>
      <c r="E1" s="20"/>
      <c r="F1" s="20"/>
    </row>
    <row r="2" ht="19.5" customHeight="1" spans="1:6">
      <c r="A2" s="19" t="s">
        <v>222</v>
      </c>
      <c r="B2" s="19"/>
      <c r="C2" s="19"/>
      <c r="D2" s="19"/>
      <c r="E2" s="19"/>
      <c r="F2" s="19"/>
    </row>
    <row r="3" ht="23.25" customHeight="1" spans="1:6">
      <c r="A3" s="6" t="s">
        <v>171</v>
      </c>
      <c r="B3" s="6" t="s">
        <v>223</v>
      </c>
      <c r="C3" s="6" t="s">
        <v>173</v>
      </c>
      <c r="D3" s="6" t="s">
        <v>174</v>
      </c>
      <c r="E3" s="6" t="s">
        <v>175</v>
      </c>
      <c r="F3" s="6" t="s">
        <v>224</v>
      </c>
    </row>
    <row r="4" ht="21.75" customHeight="1" spans="1:6">
      <c r="A4" s="23" t="s">
        <v>225</v>
      </c>
      <c r="B4" s="36" t="s">
        <v>226</v>
      </c>
      <c r="C4" s="42">
        <v>1.5</v>
      </c>
      <c r="D4" s="23">
        <v>4</v>
      </c>
      <c r="E4" s="53">
        <f t="shared" ref="E4:E11" si="0">C4*D4</f>
        <v>6</v>
      </c>
      <c r="F4" s="26" t="s">
        <v>227</v>
      </c>
    </row>
    <row r="5" ht="21.75" customHeight="1" spans="1:6">
      <c r="A5" s="23" t="s">
        <v>228</v>
      </c>
      <c r="B5" s="36" t="s">
        <v>229</v>
      </c>
      <c r="C5" s="42">
        <v>0.5</v>
      </c>
      <c r="D5" s="23">
        <v>3</v>
      </c>
      <c r="E5" s="53">
        <f t="shared" si="0"/>
        <v>1.5</v>
      </c>
      <c r="F5" s="26" t="s">
        <v>230</v>
      </c>
    </row>
    <row r="6" ht="21.75" customHeight="1" spans="1:6">
      <c r="A6" s="23" t="s">
        <v>231</v>
      </c>
      <c r="B6" s="36" t="s">
        <v>232</v>
      </c>
      <c r="C6" s="42">
        <v>1</v>
      </c>
      <c r="D6" s="23">
        <v>4</v>
      </c>
      <c r="E6" s="53">
        <f t="shared" si="0"/>
        <v>4</v>
      </c>
      <c r="F6" s="26" t="s">
        <v>233</v>
      </c>
    </row>
    <row r="7" ht="21.75" customHeight="1" spans="1:6">
      <c r="A7" s="23" t="s">
        <v>234</v>
      </c>
      <c r="B7" s="36" t="s">
        <v>235</v>
      </c>
      <c r="C7" s="42">
        <v>0.5</v>
      </c>
      <c r="D7" s="23">
        <v>3</v>
      </c>
      <c r="E7" s="53">
        <f t="shared" si="0"/>
        <v>1.5</v>
      </c>
      <c r="F7" s="26" t="s">
        <v>236</v>
      </c>
    </row>
    <row r="8" ht="21.75" customHeight="1" spans="1:6">
      <c r="A8" s="23" t="s">
        <v>237</v>
      </c>
      <c r="B8" s="36" t="s">
        <v>238</v>
      </c>
      <c r="C8" s="42">
        <v>1</v>
      </c>
      <c r="D8" s="23">
        <v>5</v>
      </c>
      <c r="E8" s="53">
        <f t="shared" si="0"/>
        <v>5</v>
      </c>
      <c r="F8" s="26" t="s">
        <v>239</v>
      </c>
    </row>
    <row r="9" ht="21.75" customHeight="1" spans="1:6">
      <c r="A9" s="23" t="s">
        <v>240</v>
      </c>
      <c r="B9" s="36" t="s">
        <v>241</v>
      </c>
      <c r="C9" s="42">
        <v>2</v>
      </c>
      <c r="D9" s="23">
        <v>3</v>
      </c>
      <c r="E9" s="53">
        <f t="shared" si="0"/>
        <v>6</v>
      </c>
      <c r="F9" s="26" t="s">
        <v>242</v>
      </c>
    </row>
    <row r="10" ht="21.75" customHeight="1" spans="1:6">
      <c r="A10" s="23" t="s">
        <v>243</v>
      </c>
      <c r="B10" s="36" t="s">
        <v>244</v>
      </c>
      <c r="C10" s="54">
        <v>-1</v>
      </c>
      <c r="D10" s="55">
        <v>3</v>
      </c>
      <c r="E10" s="53">
        <f t="shared" si="0"/>
        <v>-3</v>
      </c>
      <c r="F10" s="26" t="s">
        <v>245</v>
      </c>
    </row>
    <row r="11" ht="21.75" customHeight="1" spans="1:6">
      <c r="A11" s="23" t="s">
        <v>246</v>
      </c>
      <c r="B11" s="36" t="s">
        <v>247</v>
      </c>
      <c r="C11" s="54">
        <v>-1</v>
      </c>
      <c r="D11" s="55">
        <v>2</v>
      </c>
      <c r="E11" s="53">
        <f t="shared" si="0"/>
        <v>-2</v>
      </c>
      <c r="F11" s="26" t="s">
        <v>248</v>
      </c>
    </row>
    <row r="12" ht="15" customHeight="1" spans="1:6">
      <c r="A12" s="41" t="s">
        <v>249</v>
      </c>
      <c r="B12" s="41"/>
      <c r="C12" s="41"/>
      <c r="D12" s="41"/>
      <c r="E12" s="56">
        <f>SUM(E4:E11)</f>
        <v>19</v>
      </c>
      <c r="F12" s="22" t="s">
        <v>250</v>
      </c>
    </row>
    <row r="14" ht="19.5" customHeight="1" spans="1:6">
      <c r="A14" s="41" t="s">
        <v>251</v>
      </c>
      <c r="B14" s="41"/>
      <c r="C14" s="41"/>
      <c r="D14" s="41"/>
      <c r="E14" s="41"/>
      <c r="F14" s="41"/>
    </row>
    <row r="15" ht="21.75" customHeight="1" spans="1:6">
      <c r="A15" s="22" t="s">
        <v>252</v>
      </c>
      <c r="B15" s="22"/>
      <c r="C15" s="22"/>
      <c r="D15" s="22"/>
      <c r="E15" s="57">
        <f>1.4+(-0.03*E12)</f>
        <v>0.83</v>
      </c>
      <c r="F15" s="22" t="s">
        <v>253</v>
      </c>
    </row>
  </sheetData>
  <mergeCells count="5">
    <mergeCell ref="A1:F1"/>
    <mergeCell ref="A2:F2"/>
    <mergeCell ref="A12:D12"/>
    <mergeCell ref="A14:F14"/>
    <mergeCell ref="A15:D15"/>
  </mergeCells>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A1" sqref="A1:H1"/>
    </sheetView>
  </sheetViews>
  <sheetFormatPr defaultColWidth="8.67592592592593" defaultRowHeight="14.4" outlineLevelCol="7"/>
  <cols>
    <col min="1" max="1" width="6" style="1" customWidth="1"/>
    <col min="2" max="2" width="35" style="1" customWidth="1"/>
    <col min="3" max="3" width="12" style="1" customWidth="1"/>
    <col min="4" max="4" width="22" style="1" customWidth="1"/>
    <col min="5" max="7" width="18" style="1" customWidth="1"/>
    <col min="8" max="8" width="30" style="1" customWidth="1"/>
  </cols>
  <sheetData>
    <row r="1" ht="30" customHeight="1" spans="1:8">
      <c r="A1" s="20" t="s">
        <v>254</v>
      </c>
      <c r="B1" s="20"/>
      <c r="C1" s="20"/>
      <c r="D1" s="20"/>
      <c r="E1" s="20"/>
      <c r="F1" s="20"/>
      <c r="G1" s="20"/>
      <c r="H1" s="20"/>
    </row>
    <row r="2" ht="19.5" customHeight="1" spans="1:8">
      <c r="A2" s="3" t="s">
        <v>255</v>
      </c>
      <c r="B2" s="3"/>
      <c r="C2" s="3"/>
      <c r="D2" s="3"/>
      <c r="E2" s="3"/>
      <c r="F2" s="3"/>
      <c r="G2" s="3"/>
      <c r="H2" s="3"/>
    </row>
    <row r="3" ht="15" customHeight="1" spans="1:8">
      <c r="A3" s="6" t="s">
        <v>23</v>
      </c>
      <c r="B3" s="6" t="s">
        <v>256</v>
      </c>
      <c r="C3" s="6" t="s">
        <v>257</v>
      </c>
      <c r="D3" s="6" t="s">
        <v>258</v>
      </c>
      <c r="E3" s="6" t="s">
        <v>259</v>
      </c>
      <c r="F3" s="6" t="s">
        <v>260</v>
      </c>
      <c r="G3" s="6" t="s">
        <v>261</v>
      </c>
      <c r="H3" s="6" t="s">
        <v>28</v>
      </c>
    </row>
    <row r="4" ht="19.5" customHeight="1" spans="1:8">
      <c r="A4" s="42">
        <v>1</v>
      </c>
      <c r="B4" s="43" t="s">
        <v>262</v>
      </c>
      <c r="C4" s="42" t="s">
        <v>263</v>
      </c>
      <c r="D4" s="45"/>
      <c r="E4" s="52">
        <v>2.34</v>
      </c>
      <c r="F4" s="52">
        <v>2.65</v>
      </c>
      <c r="G4" s="52">
        <v>2.96</v>
      </c>
      <c r="H4" s="45" t="s">
        <v>264</v>
      </c>
    </row>
    <row r="5" ht="19.5" customHeight="1" spans="1:8">
      <c r="A5" s="42">
        <v>2</v>
      </c>
      <c r="B5" s="43" t="s">
        <v>265</v>
      </c>
      <c r="C5" s="42" t="s">
        <v>266</v>
      </c>
      <c r="D5" s="45"/>
      <c r="E5" s="52">
        <v>0</v>
      </c>
      <c r="F5" s="52">
        <v>0</v>
      </c>
      <c r="G5" s="52">
        <v>0</v>
      </c>
      <c r="H5" s="45" t="s">
        <v>267</v>
      </c>
    </row>
    <row r="6" ht="19.5" customHeight="1" spans="1:8">
      <c r="A6" s="42">
        <v>3</v>
      </c>
      <c r="B6" s="43" t="s">
        <v>268</v>
      </c>
      <c r="C6" s="42" t="s">
        <v>269</v>
      </c>
      <c r="D6" s="45"/>
      <c r="E6" s="52">
        <v>2340000</v>
      </c>
      <c r="F6" s="52">
        <v>2340000</v>
      </c>
      <c r="G6" s="52">
        <v>2340000</v>
      </c>
      <c r="H6" s="45" t="s">
        <v>270</v>
      </c>
    </row>
    <row r="7" ht="19.5" customHeight="1" spans="1:8">
      <c r="A7" s="42">
        <v>4</v>
      </c>
      <c r="B7" s="43" t="s">
        <v>271</v>
      </c>
      <c r="C7" s="42" t="s">
        <v>272</v>
      </c>
      <c r="D7" s="45" t="s">
        <v>273</v>
      </c>
      <c r="E7" s="45">
        <f>E4*E6</f>
        <v>5475600</v>
      </c>
      <c r="F7" s="45">
        <f>F4*F6</f>
        <v>6201000</v>
      </c>
      <c r="G7" s="45">
        <f>G4*G6</f>
        <v>6926400</v>
      </c>
      <c r="H7" s="45"/>
    </row>
    <row r="8" ht="19.5" customHeight="1" spans="1:8">
      <c r="A8" s="42">
        <v>5</v>
      </c>
      <c r="B8" s="43" t="s">
        <v>274</v>
      </c>
      <c r="C8" s="42" t="s">
        <v>275</v>
      </c>
      <c r="D8" s="45"/>
      <c r="E8" s="52">
        <v>0.9</v>
      </c>
      <c r="F8" s="52">
        <v>0.9</v>
      </c>
      <c r="G8" s="52">
        <v>0.9</v>
      </c>
      <c r="H8" s="45" t="s">
        <v>276</v>
      </c>
    </row>
    <row r="9" ht="19.5" customHeight="1" spans="1:8">
      <c r="A9" s="42">
        <v>6</v>
      </c>
      <c r="B9" s="43" t="s">
        <v>277</v>
      </c>
      <c r="C9" s="42" t="s">
        <v>278</v>
      </c>
      <c r="D9" s="45" t="s">
        <v>279</v>
      </c>
      <c r="E9" s="45">
        <f>E10+E11+E12</f>
        <v>1177254</v>
      </c>
      <c r="F9" s="45">
        <f>F10+F11+F12</f>
        <v>1333215</v>
      </c>
      <c r="G9" s="45">
        <f>G10+G11+G12</f>
        <v>1489176</v>
      </c>
      <c r="H9" s="45" t="s">
        <v>280</v>
      </c>
    </row>
    <row r="10" ht="19.5" customHeight="1" spans="1:8">
      <c r="A10" s="45" t="s">
        <v>281</v>
      </c>
      <c r="B10" s="44" t="s">
        <v>282</v>
      </c>
      <c r="C10" s="45" t="s">
        <v>283</v>
      </c>
      <c r="D10" s="45" t="s">
        <v>284</v>
      </c>
      <c r="E10" s="45">
        <f>17.5%*E7</f>
        <v>958230</v>
      </c>
      <c r="F10" s="45">
        <f>17.5%*F7</f>
        <v>1085175</v>
      </c>
      <c r="G10" s="45">
        <f>17.5%*G7</f>
        <v>1212120</v>
      </c>
      <c r="H10" s="45" t="s">
        <v>285</v>
      </c>
    </row>
    <row r="11" ht="19.5" customHeight="1" spans="1:8">
      <c r="A11" s="45" t="s">
        <v>286</v>
      </c>
      <c r="B11" s="44" t="s">
        <v>287</v>
      </c>
      <c r="C11" s="45" t="s">
        <v>288</v>
      </c>
      <c r="D11" s="45" t="s">
        <v>289</v>
      </c>
      <c r="E11" s="45">
        <f>3%*E7</f>
        <v>164268</v>
      </c>
      <c r="F11" s="45">
        <f>3%*F7</f>
        <v>186030</v>
      </c>
      <c r="G11" s="45">
        <f>3%*G7</f>
        <v>207792</v>
      </c>
      <c r="H11" s="45" t="s">
        <v>290</v>
      </c>
    </row>
    <row r="12" ht="19.5" customHeight="1" spans="1:8">
      <c r="A12" s="45" t="s">
        <v>291</v>
      </c>
      <c r="B12" s="44" t="s">
        <v>292</v>
      </c>
      <c r="C12" s="45" t="s">
        <v>293</v>
      </c>
      <c r="D12" s="45" t="s">
        <v>294</v>
      </c>
      <c r="E12" s="45">
        <f>1%*E7</f>
        <v>54756</v>
      </c>
      <c r="F12" s="45">
        <f>1%*F7</f>
        <v>62010</v>
      </c>
      <c r="G12" s="45">
        <f>1%*G7</f>
        <v>69264</v>
      </c>
      <c r="H12" s="45" t="s">
        <v>290</v>
      </c>
    </row>
    <row r="13" ht="19.5" customHeight="1" spans="1:8">
      <c r="A13" s="42">
        <v>7</v>
      </c>
      <c r="B13" s="43" t="s">
        <v>295</v>
      </c>
      <c r="C13" s="42" t="s">
        <v>296</v>
      </c>
      <c r="D13" s="45"/>
      <c r="E13" s="52">
        <v>26</v>
      </c>
      <c r="F13" s="52">
        <v>26</v>
      </c>
      <c r="G13" s="52">
        <v>26</v>
      </c>
      <c r="H13" s="45" t="s">
        <v>280</v>
      </c>
    </row>
    <row r="14" ht="19.5" customHeight="1" spans="1:8">
      <c r="A14" s="42">
        <v>8</v>
      </c>
      <c r="B14" s="43" t="s">
        <v>297</v>
      </c>
      <c r="C14" s="42" t="s">
        <v>298</v>
      </c>
      <c r="D14" s="45" t="s">
        <v>299</v>
      </c>
      <c r="E14" s="45">
        <f>((E4+E5)*E6*(1+E8)+E9)/E13</f>
        <v>445419</v>
      </c>
      <c r="F14" s="45">
        <f>((F4+F5)*F6*(1+F8)+F9)/F13</f>
        <v>504427.5</v>
      </c>
      <c r="G14" s="45">
        <f>((G4+G5)*G6*(1+G8)+G9)/G13</f>
        <v>563436</v>
      </c>
      <c r="H14" s="45" t="s">
        <v>300</v>
      </c>
    </row>
    <row r="15" ht="19.5" customHeight="1" spans="1:8">
      <c r="A15" s="42">
        <v>9</v>
      </c>
      <c r="B15" s="43" t="s">
        <v>301</v>
      </c>
      <c r="C15" s="42" t="s">
        <v>302</v>
      </c>
      <c r="D15" s="45" t="s">
        <v>303</v>
      </c>
      <c r="E15" s="45">
        <f>E14/8</f>
        <v>55677.375</v>
      </c>
      <c r="F15" s="45">
        <f>F14/8</f>
        <v>63053.4375</v>
      </c>
      <c r="G15" s="45">
        <f>G14/8</f>
        <v>70429.5</v>
      </c>
      <c r="H15" s="45"/>
    </row>
    <row r="16" ht="19.5" customHeight="1" spans="1:8">
      <c r="A16" s="42">
        <v>10</v>
      </c>
      <c r="B16" s="43" t="s">
        <v>304</v>
      </c>
      <c r="C16" s="42" t="s">
        <v>305</v>
      </c>
      <c r="D16" s="45"/>
      <c r="E16" s="52">
        <v>0</v>
      </c>
      <c r="F16" s="52">
        <v>3</v>
      </c>
      <c r="G16" s="52">
        <v>0</v>
      </c>
      <c r="H16" s="45" t="s">
        <v>306</v>
      </c>
    </row>
    <row r="17" ht="24" customHeight="1" spans="1:8">
      <c r="A17" s="41" t="s">
        <v>307</v>
      </c>
      <c r="B17" s="41"/>
      <c r="C17" s="41"/>
      <c r="D17" s="41"/>
      <c r="E17" s="17">
        <f>IF(SUM(E16:G16)=0,0,SUMPRODUCT(E15:G15,E16:G16)/SUM(E16:G16))</f>
        <v>63053.4375</v>
      </c>
      <c r="F17" s="17"/>
      <c r="G17" s="17"/>
      <c r="H17" s="22" t="s">
        <v>308</v>
      </c>
    </row>
  </sheetData>
  <mergeCells count="4">
    <mergeCell ref="A1:H1"/>
    <mergeCell ref="A2:H2"/>
    <mergeCell ref="A17:D17"/>
    <mergeCell ref="E17:G17"/>
  </mergeCells>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tabSelected="1" workbookViewId="0">
      <selection activeCell="A1" sqref="A1:F1"/>
    </sheetView>
  </sheetViews>
  <sheetFormatPr defaultColWidth="8.67592592592593" defaultRowHeight="14.4" outlineLevelCol="5"/>
  <cols>
    <col min="1" max="1" width="6" style="1" customWidth="1"/>
    <col min="2" max="2" width="38" style="1" customWidth="1"/>
    <col min="3" max="3" width="22" style="1" customWidth="1"/>
    <col min="4" max="4" width="12" style="1" customWidth="1"/>
    <col min="5" max="5" width="20" style="1" customWidth="1"/>
    <col min="6" max="6" width="55.7777777777778" style="1" customWidth="1"/>
  </cols>
  <sheetData>
    <row r="1" ht="30" customHeight="1" spans="1:6">
      <c r="A1" s="20">
        <v>2</v>
      </c>
      <c r="B1" s="20"/>
      <c r="C1" s="20"/>
      <c r="D1" s="20"/>
      <c r="E1" s="20"/>
      <c r="F1" s="20"/>
    </row>
    <row r="2" ht="19.5" customHeight="1" spans="1:6">
      <c r="A2" s="3" t="s">
        <v>309</v>
      </c>
      <c r="B2" s="3"/>
      <c r="C2" s="3"/>
      <c r="D2" s="3"/>
      <c r="E2" s="3"/>
      <c r="F2" s="3"/>
    </row>
    <row r="3" ht="15" customHeight="1" spans="1:6">
      <c r="A3" s="6" t="s">
        <v>171</v>
      </c>
      <c r="B3" s="6" t="s">
        <v>256</v>
      </c>
      <c r="C3" s="6" t="s">
        <v>310</v>
      </c>
      <c r="D3" s="6" t="s">
        <v>257</v>
      </c>
      <c r="E3" s="6" t="s">
        <v>311</v>
      </c>
      <c r="F3" s="6" t="s">
        <v>312</v>
      </c>
    </row>
    <row r="4" ht="19.5" customHeight="1" spans="1:6">
      <c r="A4" s="41" t="s">
        <v>313</v>
      </c>
      <c r="B4" s="41"/>
      <c r="C4" s="41"/>
      <c r="D4" s="41"/>
      <c r="E4" s="41"/>
      <c r="F4" s="41"/>
    </row>
    <row r="5" ht="21.75" customHeight="1" spans="1:6">
      <c r="A5" s="42">
        <v>1</v>
      </c>
      <c r="B5" s="43" t="s">
        <v>314</v>
      </c>
      <c r="C5" s="44" t="s">
        <v>315</v>
      </c>
      <c r="D5" s="45" t="s">
        <v>316</v>
      </c>
      <c r="E5" s="46">
        <f>PL3_TAW!E7</f>
        <v>12</v>
      </c>
      <c r="F5" s="44" t="s">
        <v>317</v>
      </c>
    </row>
    <row r="6" ht="21.75" customHeight="1" spans="1:6">
      <c r="A6" s="42">
        <v>2</v>
      </c>
      <c r="B6" s="43" t="s">
        <v>318</v>
      </c>
      <c r="C6" s="44" t="s">
        <v>319</v>
      </c>
      <c r="D6" s="45" t="s">
        <v>165</v>
      </c>
      <c r="E6" s="47">
        <f>PL4_TBF!F13</f>
        <v>288</v>
      </c>
      <c r="F6" s="44" t="s">
        <v>320</v>
      </c>
    </row>
    <row r="7" ht="21.75" customHeight="1" spans="1:6">
      <c r="A7" s="42">
        <v>3</v>
      </c>
      <c r="B7" s="43" t="s">
        <v>321</v>
      </c>
      <c r="C7" s="44" t="s">
        <v>322</v>
      </c>
      <c r="D7" s="45" t="s">
        <v>323</v>
      </c>
      <c r="E7" s="45">
        <f>E5+E6</f>
        <v>300</v>
      </c>
      <c r="F7" s="44" t="s">
        <v>324</v>
      </c>
    </row>
    <row r="8" ht="21.75" customHeight="1" spans="1:6">
      <c r="A8" s="42">
        <v>4</v>
      </c>
      <c r="B8" s="43" t="s">
        <v>325</v>
      </c>
      <c r="C8" s="44" t="s">
        <v>326</v>
      </c>
      <c r="D8" s="45" t="s">
        <v>327</v>
      </c>
      <c r="E8" s="48">
        <f>PL5_TCF!E20</f>
        <v>0.955</v>
      </c>
      <c r="F8" s="44" t="s">
        <v>328</v>
      </c>
    </row>
    <row r="9" ht="21.75" customHeight="1" spans="1:6">
      <c r="A9" s="42">
        <v>5</v>
      </c>
      <c r="B9" s="43" t="s">
        <v>329</v>
      </c>
      <c r="C9" s="44" t="s">
        <v>330</v>
      </c>
      <c r="D9" s="45" t="s">
        <v>331</v>
      </c>
      <c r="E9" s="48">
        <f>PL6_ECF!E15</f>
        <v>0.83</v>
      </c>
      <c r="F9" s="44" t="s">
        <v>332</v>
      </c>
    </row>
    <row r="10" ht="21.75" customHeight="1" spans="1:6">
      <c r="A10" s="42">
        <v>6</v>
      </c>
      <c r="B10" s="43" t="s">
        <v>333</v>
      </c>
      <c r="C10" s="44" t="s">
        <v>334</v>
      </c>
      <c r="D10" s="45" t="s">
        <v>335</v>
      </c>
      <c r="E10" s="49">
        <f>E7*E8*E9</f>
        <v>237.795</v>
      </c>
      <c r="F10" s="44"/>
    </row>
    <row r="11" ht="19.5" customHeight="1" spans="1:6">
      <c r="A11" s="41" t="s">
        <v>336</v>
      </c>
      <c r="B11" s="41"/>
      <c r="C11" s="41"/>
      <c r="D11" s="41"/>
      <c r="E11" s="41"/>
      <c r="F11" s="41"/>
    </row>
    <row r="12" ht="21.75" customHeight="1" spans="1:6">
      <c r="A12" s="42">
        <v>7</v>
      </c>
      <c r="B12" s="43" t="s">
        <v>337</v>
      </c>
      <c r="C12" s="44" t="s">
        <v>338</v>
      </c>
      <c r="D12" s="45" t="s">
        <v>339</v>
      </c>
      <c r="E12" s="50">
        <v>20</v>
      </c>
      <c r="F12" s="44" t="s">
        <v>340</v>
      </c>
    </row>
    <row r="13" ht="19.5" customHeight="1" spans="1:6">
      <c r="A13" s="41" t="s">
        <v>341</v>
      </c>
      <c r="B13" s="41"/>
      <c r="C13" s="41"/>
      <c r="D13" s="41"/>
      <c r="E13" s="41"/>
      <c r="F13" s="41"/>
    </row>
    <row r="14" ht="21.75" customHeight="1" spans="1:6">
      <c r="A14" s="42">
        <v>8</v>
      </c>
      <c r="B14" s="43" t="s">
        <v>342</v>
      </c>
      <c r="C14" s="44" t="s">
        <v>343</v>
      </c>
      <c r="D14" s="45" t="s">
        <v>344</v>
      </c>
      <c r="E14" s="46">
        <f>10/6*E10</f>
        <v>396.325</v>
      </c>
      <c r="F14" s="44" t="s">
        <v>345</v>
      </c>
    </row>
    <row r="15" ht="19.5" customHeight="1" spans="1:6">
      <c r="A15" s="41" t="s">
        <v>346</v>
      </c>
      <c r="B15" s="41"/>
      <c r="C15" s="41"/>
      <c r="D15" s="41"/>
      <c r="E15" s="41"/>
      <c r="F15" s="41"/>
    </row>
    <row r="16" ht="21.75" customHeight="1" spans="1:6">
      <c r="A16" s="42">
        <v>9</v>
      </c>
      <c r="B16" s="43" t="s">
        <v>307</v>
      </c>
      <c r="C16" s="44" t="s">
        <v>347</v>
      </c>
      <c r="D16" s="45" t="s">
        <v>348</v>
      </c>
      <c r="E16" s="46">
        <f>PL7_Luong!E17</f>
        <v>63053.4375</v>
      </c>
      <c r="F16" s="44" t="s">
        <v>349</v>
      </c>
    </row>
    <row r="17" ht="19.5" customHeight="1" spans="1:6">
      <c r="A17" s="41" t="s">
        <v>350</v>
      </c>
      <c r="B17" s="41"/>
      <c r="C17" s="41"/>
      <c r="D17" s="41"/>
      <c r="E17" s="41"/>
      <c r="F17" s="41"/>
    </row>
    <row r="18" ht="27.75" customHeight="1" spans="1:6">
      <c r="A18" s="42">
        <v>10</v>
      </c>
      <c r="B18" s="43" t="s">
        <v>351</v>
      </c>
      <c r="C18" s="44" t="s">
        <v>352</v>
      </c>
      <c r="D18" s="45" t="s">
        <v>353</v>
      </c>
      <c r="E18" s="51">
        <f>1.4*E14*E12*E16</f>
        <v>699710301.28125</v>
      </c>
      <c r="F18" s="44" t="s">
        <v>354</v>
      </c>
    </row>
  </sheetData>
  <mergeCells count="7">
    <mergeCell ref="A1:F1"/>
    <mergeCell ref="A2:F2"/>
    <mergeCell ref="A4:F4"/>
    <mergeCell ref="A11:F11"/>
    <mergeCell ref="A13:F13"/>
    <mergeCell ref="A15:F15"/>
    <mergeCell ref="A17:F17"/>
  </mergeCells>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workbookViewId="0">
      <selection activeCell="A1" sqref="A1:F1"/>
    </sheetView>
  </sheetViews>
  <sheetFormatPr defaultColWidth="8.67592592592593" defaultRowHeight="14.4" outlineLevelCol="5"/>
  <cols>
    <col min="1" max="1" width="6" style="1" customWidth="1"/>
    <col min="2" max="2" width="40" style="1" customWidth="1"/>
    <col min="3" max="3" width="22" style="1" customWidth="1"/>
    <col min="4" max="4" width="14" style="1" customWidth="1"/>
    <col min="5" max="5" width="22" style="1" customWidth="1"/>
    <col min="6" max="6" width="10" style="1" customWidth="1"/>
  </cols>
  <sheetData>
    <row r="1" ht="34.5" customHeight="1" spans="1:6">
      <c r="A1" s="37" t="s">
        <v>355</v>
      </c>
      <c r="B1" s="37"/>
      <c r="C1" s="37"/>
      <c r="D1" s="37"/>
      <c r="E1" s="37"/>
      <c r="F1" s="37"/>
    </row>
    <row r="2" ht="19.5" customHeight="1" spans="1:6">
      <c r="A2" s="3" t="s">
        <v>356</v>
      </c>
      <c r="B2" s="3"/>
      <c r="C2" s="3"/>
      <c r="D2" s="3"/>
      <c r="E2" s="3"/>
      <c r="F2" s="3"/>
    </row>
    <row r="3" ht="18" customHeight="1" spans="1:6">
      <c r="A3" s="3" t="s">
        <v>357</v>
      </c>
      <c r="B3" s="3"/>
      <c r="C3" s="3"/>
      <c r="D3" s="3"/>
      <c r="E3" s="3"/>
      <c r="F3" s="3"/>
    </row>
    <row r="4" ht="18" customHeight="1" spans="1:6">
      <c r="A4" s="4" t="s">
        <v>358</v>
      </c>
      <c r="B4" s="5" t="s">
        <v>359</v>
      </c>
      <c r="C4" s="5"/>
      <c r="D4" s="5"/>
      <c r="E4" s="5"/>
      <c r="F4" s="5"/>
    </row>
    <row r="5" ht="18" customHeight="1" spans="1:6">
      <c r="A5" s="4" t="s">
        <v>5</v>
      </c>
      <c r="B5" s="5" t="s">
        <v>6</v>
      </c>
      <c r="C5" s="5"/>
      <c r="D5" s="5"/>
      <c r="E5" s="5"/>
      <c r="F5" s="5"/>
    </row>
    <row r="6" ht="15" customHeight="1" spans="1:6">
      <c r="A6" s="6" t="s">
        <v>171</v>
      </c>
      <c r="B6" s="6" t="s">
        <v>360</v>
      </c>
      <c r="C6" s="6" t="s">
        <v>361</v>
      </c>
      <c r="D6" s="6" t="s">
        <v>257</v>
      </c>
      <c r="E6" s="6" t="s">
        <v>362</v>
      </c>
      <c r="F6" s="6" t="s">
        <v>363</v>
      </c>
    </row>
    <row r="7" ht="21.75" customHeight="1" spans="1:6">
      <c r="A7" s="21">
        <v>1</v>
      </c>
      <c r="B7" s="36" t="s">
        <v>364</v>
      </c>
      <c r="C7" s="26" t="s">
        <v>352</v>
      </c>
      <c r="D7" s="38" t="s">
        <v>353</v>
      </c>
      <c r="E7" s="27">
        <f>PL8_ChiPhi_G!E18</f>
        <v>699710301.28125</v>
      </c>
      <c r="F7" s="29"/>
    </row>
    <row r="8" ht="21.75" customHeight="1" spans="1:6">
      <c r="A8" s="21">
        <v>2</v>
      </c>
      <c r="B8" s="36" t="s">
        <v>365</v>
      </c>
      <c r="C8" s="26" t="s">
        <v>366</v>
      </c>
      <c r="D8" s="38" t="s">
        <v>367</v>
      </c>
      <c r="E8" s="27">
        <f>E7*0.65</f>
        <v>454811695.832812</v>
      </c>
      <c r="F8" s="29"/>
    </row>
    <row r="9" ht="21.75" customHeight="1" spans="1:6">
      <c r="A9" s="21">
        <v>3</v>
      </c>
      <c r="B9" s="36" t="s">
        <v>368</v>
      </c>
      <c r="C9" s="26" t="s">
        <v>369</v>
      </c>
      <c r="D9" s="38" t="s">
        <v>370</v>
      </c>
      <c r="E9" s="27">
        <f>(E7+E8)*0.06</f>
        <v>69271319.8268437</v>
      </c>
      <c r="F9" s="29"/>
    </row>
    <row r="10" ht="21.75" customHeight="1" spans="1:6">
      <c r="A10" s="39">
        <v>4</v>
      </c>
      <c r="B10" s="40" t="s">
        <v>371</v>
      </c>
      <c r="C10" s="40" t="s">
        <v>372</v>
      </c>
      <c r="D10" s="39" t="s">
        <v>373</v>
      </c>
      <c r="E10" s="31">
        <f>E7+E8+E9</f>
        <v>1223793316.94091</v>
      </c>
      <c r="F10" s="29"/>
    </row>
    <row r="11" ht="21.75" customHeight="1" spans="1:6">
      <c r="A11" s="21">
        <v>5</v>
      </c>
      <c r="B11" s="36" t="s">
        <v>374</v>
      </c>
      <c r="C11" s="26" t="s">
        <v>375</v>
      </c>
      <c r="D11" s="38" t="s">
        <v>376</v>
      </c>
      <c r="E11" s="27">
        <f>E10*0.1</f>
        <v>122379331.694091</v>
      </c>
      <c r="F11" s="29"/>
    </row>
    <row r="12" ht="25.5" customHeight="1" spans="1:6">
      <c r="A12" s="30" t="s">
        <v>377</v>
      </c>
      <c r="B12" s="30"/>
      <c r="C12" s="30"/>
      <c r="D12" s="30"/>
      <c r="E12" s="17">
        <f>E10+E11</f>
        <v>1346172648.635</v>
      </c>
      <c r="F12" s="29"/>
    </row>
    <row r="14" ht="19.5" customHeight="1" spans="1:6">
      <c r="A14" s="19" t="s">
        <v>378</v>
      </c>
      <c r="B14" s="19"/>
      <c r="C14" s="19"/>
      <c r="D14" s="19"/>
      <c r="E14" s="19"/>
      <c r="F14" s="19"/>
    </row>
    <row r="15" ht="15" customHeight="1" spans="1:6">
      <c r="A15" s="6" t="s">
        <v>23</v>
      </c>
      <c r="B15" s="6" t="s">
        <v>379</v>
      </c>
      <c r="C15" s="6" t="s">
        <v>258</v>
      </c>
      <c r="D15" s="6" t="s">
        <v>380</v>
      </c>
      <c r="E15" s="6" t="s">
        <v>381</v>
      </c>
      <c r="F15" s="6"/>
    </row>
    <row r="16" ht="18" customHeight="1" spans="1:6">
      <c r="A16" s="12" t="s">
        <v>382</v>
      </c>
      <c r="B16" s="13" t="s">
        <v>383</v>
      </c>
      <c r="C16" s="13" t="s">
        <v>366</v>
      </c>
      <c r="D16" s="12" t="s">
        <v>384</v>
      </c>
      <c r="E16" s="13" t="s">
        <v>385</v>
      </c>
      <c r="F16" s="13"/>
    </row>
    <row r="17" ht="18" customHeight="1" spans="1:6">
      <c r="A17" s="12" t="s">
        <v>386</v>
      </c>
      <c r="B17" s="13" t="s">
        <v>387</v>
      </c>
      <c r="C17" s="13" t="s">
        <v>369</v>
      </c>
      <c r="D17" s="12" t="s">
        <v>388</v>
      </c>
      <c r="E17" s="13" t="s">
        <v>385</v>
      </c>
      <c r="F17" s="13"/>
    </row>
    <row r="18" ht="18" customHeight="1" spans="1:6">
      <c r="A18" s="12" t="s">
        <v>389</v>
      </c>
      <c r="B18" s="13" t="s">
        <v>390</v>
      </c>
      <c r="C18" s="13" t="s">
        <v>375</v>
      </c>
      <c r="D18" s="12" t="s">
        <v>391</v>
      </c>
      <c r="E18" s="13" t="s">
        <v>392</v>
      </c>
      <c r="F18" s="13"/>
    </row>
  </sheetData>
  <mergeCells count="11">
    <mergeCell ref="A1:F1"/>
    <mergeCell ref="A2:F2"/>
    <mergeCell ref="A3:F3"/>
    <mergeCell ref="B4:F4"/>
    <mergeCell ref="B5:F5"/>
    <mergeCell ref="A12:D12"/>
    <mergeCell ref="A14:F14"/>
    <mergeCell ref="E15:F15"/>
    <mergeCell ref="E16:F16"/>
    <mergeCell ref="E17:F17"/>
    <mergeCell ref="E18:F18"/>
  </mergeCells>
  <pageMargins left="0.75" right="0.75" top="1" bottom="1" header="0.511811023622047" footer="0.511811023622047"/>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8"/>
  <sheetViews>
    <sheetView topLeftCell="A2" workbookViewId="0">
      <selection activeCell="A1" sqref="A1:G1"/>
    </sheetView>
  </sheetViews>
  <sheetFormatPr defaultColWidth="8.67592592592593" defaultRowHeight="14.4" outlineLevelCol="6"/>
  <cols>
    <col min="1" max="1" width="6" style="1" customWidth="1"/>
    <col min="2" max="2" width="36" style="1" customWidth="1"/>
    <col min="3" max="3" width="16" style="1" customWidth="1"/>
    <col min="4" max="4" width="20" style="1" customWidth="1"/>
    <col min="5" max="5" width="16" style="1" customWidth="1"/>
    <col min="6" max="6" width="12" style="1" customWidth="1"/>
    <col min="7" max="7" width="16" style="1" customWidth="1"/>
  </cols>
  <sheetData>
    <row r="1" ht="34.5" customHeight="1" spans="1:7">
      <c r="A1" s="20" t="s">
        <v>393</v>
      </c>
      <c r="B1" s="20"/>
      <c r="C1" s="20"/>
      <c r="D1" s="20"/>
      <c r="E1" s="20"/>
      <c r="F1" s="20"/>
      <c r="G1" s="20"/>
    </row>
    <row r="2" ht="19.5" customHeight="1" spans="1:7">
      <c r="A2" s="3" t="s">
        <v>394</v>
      </c>
      <c r="B2" s="3"/>
      <c r="C2" s="3"/>
      <c r="D2" s="3"/>
      <c r="E2" s="3"/>
      <c r="F2" s="3"/>
      <c r="G2" s="3"/>
    </row>
    <row r="3" ht="18" customHeight="1" spans="1:7">
      <c r="A3" s="3" t="s">
        <v>395</v>
      </c>
      <c r="B3" s="3"/>
      <c r="C3" s="3"/>
      <c r="D3" s="3"/>
      <c r="E3" s="3"/>
      <c r="F3" s="3"/>
      <c r="G3" s="3"/>
    </row>
    <row r="4" ht="19.5" customHeight="1" spans="1:7">
      <c r="A4" s="19" t="s">
        <v>396</v>
      </c>
      <c r="B4" s="19"/>
      <c r="C4" s="19"/>
      <c r="D4" s="19"/>
      <c r="E4" s="19"/>
      <c r="F4" s="19"/>
      <c r="G4" s="19"/>
    </row>
    <row r="5" ht="23.25" customHeight="1" spans="1:7">
      <c r="A5" s="6" t="s">
        <v>397</v>
      </c>
      <c r="B5" s="6" t="s">
        <v>310</v>
      </c>
      <c r="C5" s="6" t="s">
        <v>257</v>
      </c>
      <c r="D5" s="6" t="s">
        <v>311</v>
      </c>
      <c r="E5" s="6" t="s">
        <v>398</v>
      </c>
      <c r="F5" s="6"/>
      <c r="G5" s="6"/>
    </row>
    <row r="6" ht="19.5" customHeight="1" spans="1:7">
      <c r="A6" s="34">
        <v>1</v>
      </c>
      <c r="B6" s="22" t="s">
        <v>399</v>
      </c>
      <c r="C6" s="35" t="s">
        <v>400</v>
      </c>
      <c r="D6" s="23">
        <v>23</v>
      </c>
      <c r="E6" s="34" t="s">
        <v>401</v>
      </c>
      <c r="F6" s="34"/>
      <c r="G6" s="34"/>
    </row>
    <row r="7" ht="19.5" customHeight="1" spans="1:7">
      <c r="A7" s="34">
        <v>2</v>
      </c>
      <c r="B7" s="22" t="s">
        <v>402</v>
      </c>
      <c r="C7" s="35" t="s">
        <v>403</v>
      </c>
      <c r="D7" s="23" t="s">
        <v>404</v>
      </c>
      <c r="E7" s="34" t="s">
        <v>405</v>
      </c>
      <c r="F7" s="34"/>
      <c r="G7" s="34"/>
    </row>
    <row r="8" ht="19.5" customHeight="1" spans="1:7">
      <c r="A8" s="34">
        <v>3</v>
      </c>
      <c r="B8" s="22" t="s">
        <v>406</v>
      </c>
      <c r="C8" s="35" t="s">
        <v>407</v>
      </c>
      <c r="D8" s="23">
        <v>3</v>
      </c>
      <c r="E8" s="34" t="s">
        <v>408</v>
      </c>
      <c r="F8" s="34"/>
      <c r="G8" s="34"/>
    </row>
    <row r="9" ht="19.5" customHeight="1" spans="1:7">
      <c r="A9" s="34">
        <v>4</v>
      </c>
      <c r="B9" s="22" t="s">
        <v>409</v>
      </c>
      <c r="C9" s="35" t="s">
        <v>410</v>
      </c>
      <c r="D9" s="23">
        <f>PL7_Luong!F15*8</f>
        <v>504427.5</v>
      </c>
      <c r="E9" s="34" t="s">
        <v>411</v>
      </c>
      <c r="F9" s="34"/>
      <c r="G9" s="34"/>
    </row>
    <row r="10" ht="19.5" customHeight="1" spans="1:7">
      <c r="A10" s="34">
        <v>5</v>
      </c>
      <c r="B10" s="22" t="s">
        <v>412</v>
      </c>
      <c r="C10" s="35" t="s">
        <v>413</v>
      </c>
      <c r="D10" s="23">
        <v>0.5</v>
      </c>
      <c r="E10" s="34" t="s">
        <v>414</v>
      </c>
      <c r="F10" s="34"/>
      <c r="G10" s="34"/>
    </row>
    <row r="11" ht="19.5" customHeight="1" spans="1:7">
      <c r="A11" s="34">
        <v>6</v>
      </c>
      <c r="B11" s="22" t="s">
        <v>415</v>
      </c>
      <c r="C11" s="35" t="s">
        <v>416</v>
      </c>
      <c r="D11" s="25">
        <v>2000000</v>
      </c>
      <c r="E11" s="34" t="s">
        <v>354</v>
      </c>
      <c r="F11" s="34"/>
      <c r="G11" s="34"/>
    </row>
    <row r="12" ht="19.5" customHeight="1" spans="1:7">
      <c r="A12" s="34">
        <v>7</v>
      </c>
      <c r="B12" s="22" t="s">
        <v>417</v>
      </c>
      <c r="C12" s="35" t="s">
        <v>418</v>
      </c>
      <c r="D12" s="25">
        <v>3000000</v>
      </c>
      <c r="E12" s="34" t="s">
        <v>354</v>
      </c>
      <c r="F12" s="34"/>
      <c r="G12" s="34"/>
    </row>
    <row r="14" ht="19.5" customHeight="1" spans="1:7">
      <c r="A14" s="19" t="s">
        <v>419</v>
      </c>
      <c r="B14" s="19"/>
      <c r="C14" s="19"/>
      <c r="D14" s="19"/>
      <c r="E14" s="19"/>
      <c r="F14" s="19"/>
      <c r="G14" s="19"/>
    </row>
    <row r="15" ht="15" customHeight="1" spans="1:7">
      <c r="A15" s="6" t="s">
        <v>23</v>
      </c>
      <c r="B15" s="6" t="s">
        <v>360</v>
      </c>
      <c r="C15" s="6" t="s">
        <v>258</v>
      </c>
      <c r="D15" s="6" t="s">
        <v>257</v>
      </c>
      <c r="E15" s="6" t="s">
        <v>362</v>
      </c>
      <c r="F15" s="6" t="s">
        <v>420</v>
      </c>
      <c r="G15" s="6" t="s">
        <v>421</v>
      </c>
    </row>
    <row r="16" ht="21.75" customHeight="1" spans="1:7">
      <c r="A16" s="21">
        <v>1</v>
      </c>
      <c r="B16" s="36" t="s">
        <v>422</v>
      </c>
      <c r="C16" s="26" t="s">
        <v>423</v>
      </c>
      <c r="D16" s="35" t="s">
        <v>424</v>
      </c>
      <c r="E16" s="27">
        <f>D6*D8*D10*D9</f>
        <v>17402748.75</v>
      </c>
      <c r="F16" s="29"/>
      <c r="G16" s="29"/>
    </row>
    <row r="17" ht="21.75" customHeight="1" spans="1:7">
      <c r="A17" s="21">
        <v>2</v>
      </c>
      <c r="B17" s="36" t="s">
        <v>425</v>
      </c>
      <c r="C17" s="26" t="s">
        <v>426</v>
      </c>
      <c r="D17" s="35" t="s">
        <v>416</v>
      </c>
      <c r="E17" s="27">
        <f>D11</f>
        <v>2000000</v>
      </c>
      <c r="F17" s="29"/>
      <c r="G17" s="29"/>
    </row>
    <row r="18" ht="21.75" customHeight="1" spans="1:7">
      <c r="A18" s="21">
        <v>3</v>
      </c>
      <c r="B18" s="36" t="s">
        <v>427</v>
      </c>
      <c r="C18" s="26" t="s">
        <v>428</v>
      </c>
      <c r="D18" s="35" t="s">
        <v>429</v>
      </c>
      <c r="E18" s="27">
        <f>D12</f>
        <v>3000000</v>
      </c>
      <c r="F18" s="29"/>
      <c r="G18" s="29"/>
    </row>
    <row r="19" ht="21.75" customHeight="1" spans="1:7">
      <c r="A19" s="21">
        <v>4</v>
      </c>
      <c r="B19" s="36" t="s">
        <v>430</v>
      </c>
      <c r="C19" s="26" t="s">
        <v>385</v>
      </c>
      <c r="D19" s="35" t="s">
        <v>431</v>
      </c>
      <c r="E19" s="27">
        <f>E16*0.65</f>
        <v>11311786.6875</v>
      </c>
      <c r="F19" s="29"/>
      <c r="G19" s="29"/>
    </row>
    <row r="20" ht="21.75" customHeight="1" spans="1:7">
      <c r="A20" s="21">
        <v>5</v>
      </c>
      <c r="B20" s="36" t="s">
        <v>432</v>
      </c>
      <c r="C20" s="26" t="s">
        <v>433</v>
      </c>
      <c r="D20" s="35" t="s">
        <v>370</v>
      </c>
      <c r="E20" s="27">
        <f>(E16+E19)*0.06</f>
        <v>1722872.12625</v>
      </c>
      <c r="F20" s="29"/>
      <c r="G20" s="29"/>
    </row>
    <row r="21" ht="25.5" customHeight="1" spans="1:7">
      <c r="A21" s="30" t="s">
        <v>434</v>
      </c>
      <c r="B21" s="30"/>
      <c r="C21" s="30"/>
      <c r="D21" s="30"/>
      <c r="E21" s="31">
        <f>E16+E17+E18+E19+E20</f>
        <v>35437407.56375</v>
      </c>
      <c r="F21" s="18">
        <f>E21*0.1</f>
        <v>3543740.756375</v>
      </c>
      <c r="G21" s="17">
        <f>E21+F21</f>
        <v>38981148.320125</v>
      </c>
    </row>
    <row r="23" ht="15" customHeight="1" spans="1:7">
      <c r="A23" s="32" t="s">
        <v>435</v>
      </c>
      <c r="B23" s="32"/>
      <c r="C23" s="32"/>
      <c r="D23" s="32"/>
      <c r="E23" s="32"/>
      <c r="F23" s="32"/>
      <c r="G23" s="32"/>
    </row>
    <row r="24" ht="18" customHeight="1" spans="1:7">
      <c r="A24" s="33" t="s">
        <v>436</v>
      </c>
      <c r="B24" s="33"/>
      <c r="C24" s="33"/>
      <c r="D24" s="33"/>
      <c r="E24" s="33"/>
      <c r="F24" s="33"/>
      <c r="G24" s="33"/>
    </row>
    <row r="25" ht="18" customHeight="1" spans="1:7">
      <c r="A25" s="33" t="s">
        <v>437</v>
      </c>
      <c r="B25" s="33"/>
      <c r="C25" s="33"/>
      <c r="D25" s="33"/>
      <c r="E25" s="33"/>
      <c r="F25" s="33"/>
      <c r="G25" s="33"/>
    </row>
    <row r="26" ht="18" customHeight="1" spans="1:7">
      <c r="A26" s="33" t="s">
        <v>438</v>
      </c>
      <c r="B26" s="33"/>
      <c r="C26" s="33"/>
      <c r="D26" s="33"/>
      <c r="E26" s="33"/>
      <c r="F26" s="33"/>
      <c r="G26" s="33"/>
    </row>
    <row r="27" ht="18" customHeight="1" spans="1:7">
      <c r="A27" s="33" t="s">
        <v>439</v>
      </c>
      <c r="B27" s="33"/>
      <c r="C27" s="33"/>
      <c r="D27" s="33"/>
      <c r="E27" s="33"/>
      <c r="F27" s="33"/>
      <c r="G27" s="33"/>
    </row>
    <row r="28" ht="18" customHeight="1" spans="1:7">
      <c r="A28" s="33" t="s">
        <v>440</v>
      </c>
      <c r="B28" s="33"/>
      <c r="C28" s="33"/>
      <c r="D28" s="33"/>
      <c r="E28" s="33"/>
      <c r="F28" s="33"/>
      <c r="G28" s="33"/>
    </row>
  </sheetData>
  <mergeCells count="20">
    <mergeCell ref="A1:G1"/>
    <mergeCell ref="A2:G2"/>
    <mergeCell ref="A3:G3"/>
    <mergeCell ref="A4:G4"/>
    <mergeCell ref="E5:G5"/>
    <mergeCell ref="E6:G6"/>
    <mergeCell ref="E7:G7"/>
    <mergeCell ref="E8:G8"/>
    <mergeCell ref="E9:G9"/>
    <mergeCell ref="E10:G10"/>
    <mergeCell ref="E11:G11"/>
    <mergeCell ref="E12:G12"/>
    <mergeCell ref="A14:G14"/>
    <mergeCell ref="A21:D21"/>
    <mergeCell ref="A23:G23"/>
    <mergeCell ref="A24:G24"/>
    <mergeCell ref="A25:G25"/>
    <mergeCell ref="A26:G26"/>
    <mergeCell ref="A27:G27"/>
    <mergeCell ref="A28:G28"/>
  </mergeCells>
  <pageMargins left="0.75" right="0.75" top="1" bottom="1" header="0.511811023622047" footer="0.511811023622047"/>
  <pageSetup paperSize="9" orientation="portrait"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topLeftCell="A16" workbookViewId="0">
      <selection activeCell="A1" sqref="A1:G1"/>
    </sheetView>
  </sheetViews>
  <sheetFormatPr defaultColWidth="8.67592592592593" defaultRowHeight="14.4" outlineLevelCol="6"/>
  <cols>
    <col min="1" max="1" width="6" style="1" customWidth="1"/>
    <col min="2" max="2" width="36" style="1" customWidth="1"/>
    <col min="3" max="3" width="16" style="1" customWidth="1"/>
    <col min="4" max="4" width="20" style="1" customWidth="1"/>
    <col min="5" max="5" width="16" style="1" customWidth="1"/>
    <col min="6" max="6" width="12" style="1" customWidth="1"/>
    <col min="7" max="7" width="16" style="1" customWidth="1"/>
  </cols>
  <sheetData>
    <row r="1" ht="34.5" customHeight="1" spans="1:7">
      <c r="A1" s="20" t="s">
        <v>441</v>
      </c>
      <c r="B1" s="20"/>
      <c r="C1" s="20"/>
      <c r="D1" s="20"/>
      <c r="E1" s="20"/>
      <c r="F1" s="20"/>
      <c r="G1" s="20"/>
    </row>
    <row r="2" ht="19.5" customHeight="1" spans="1:7">
      <c r="A2" s="3" t="s">
        <v>442</v>
      </c>
      <c r="B2" s="3"/>
      <c r="C2" s="3"/>
      <c r="D2" s="3"/>
      <c r="E2" s="3"/>
      <c r="F2" s="3"/>
      <c r="G2" s="3"/>
    </row>
    <row r="3" ht="18" customHeight="1" spans="1:7">
      <c r="A3" s="3" t="s">
        <v>395</v>
      </c>
      <c r="B3" s="3"/>
      <c r="C3" s="3"/>
      <c r="D3" s="3"/>
      <c r="E3" s="3"/>
      <c r="F3" s="3"/>
      <c r="G3" s="3"/>
    </row>
    <row r="4" ht="19.5" customHeight="1" spans="1:7">
      <c r="A4" s="19" t="s">
        <v>443</v>
      </c>
      <c r="B4" s="19"/>
      <c r="C4" s="19"/>
      <c r="D4" s="19"/>
      <c r="E4" s="19"/>
      <c r="F4" s="19"/>
      <c r="G4" s="19"/>
    </row>
    <row r="5" ht="23.25" customHeight="1" spans="1:7">
      <c r="A5" s="6" t="s">
        <v>256</v>
      </c>
      <c r="B5" s="6" t="s">
        <v>444</v>
      </c>
      <c r="C5" s="6" t="s">
        <v>28</v>
      </c>
      <c r="D5" s="6"/>
      <c r="E5" s="6"/>
      <c r="F5" s="6"/>
      <c r="G5" s="6"/>
    </row>
    <row r="6" ht="21.75" customHeight="1" spans="1:7">
      <c r="A6" s="21">
        <v>1</v>
      </c>
      <c r="B6" s="22" t="s">
        <v>445</v>
      </c>
      <c r="C6" s="23" t="s">
        <v>446</v>
      </c>
      <c r="D6" s="23"/>
      <c r="E6" s="23"/>
      <c r="F6" s="24"/>
      <c r="G6" s="24"/>
    </row>
    <row r="7" ht="21.75" customHeight="1" spans="1:7">
      <c r="A7" s="21">
        <v>2</v>
      </c>
      <c r="B7" s="22" t="s">
        <v>447</v>
      </c>
      <c r="C7" s="23" t="s">
        <v>448</v>
      </c>
      <c r="D7" s="23"/>
      <c r="E7" s="23"/>
      <c r="F7" s="24"/>
      <c r="G7" s="24"/>
    </row>
    <row r="8" ht="21.75" customHeight="1" spans="1:7">
      <c r="A8" s="21">
        <v>3</v>
      </c>
      <c r="B8" s="22" t="s">
        <v>449</v>
      </c>
      <c r="C8" s="23" t="s">
        <v>450</v>
      </c>
      <c r="D8" s="23"/>
      <c r="E8" s="23"/>
      <c r="F8" s="24" t="s">
        <v>451</v>
      </c>
      <c r="G8" s="24"/>
    </row>
    <row r="9" ht="21.75" customHeight="1" spans="1:7">
      <c r="A9" s="21">
        <v>4</v>
      </c>
      <c r="B9" s="22" t="s">
        <v>452</v>
      </c>
      <c r="C9" s="23" t="s">
        <v>453</v>
      </c>
      <c r="D9" s="23"/>
      <c r="E9" s="23"/>
      <c r="F9" s="24"/>
      <c r="G9" s="24"/>
    </row>
    <row r="10" ht="21.75" customHeight="1" spans="1:7">
      <c r="A10" s="21">
        <v>5</v>
      </c>
      <c r="B10" s="22" t="s">
        <v>454</v>
      </c>
      <c r="C10" s="23" t="s">
        <v>455</v>
      </c>
      <c r="D10" s="23"/>
      <c r="E10" s="23"/>
      <c r="F10" s="24" t="s">
        <v>456</v>
      </c>
      <c r="G10" s="24"/>
    </row>
    <row r="11" ht="21.75" customHeight="1" spans="1:7">
      <c r="A11" s="21">
        <v>6</v>
      </c>
      <c r="B11" s="22" t="s">
        <v>457</v>
      </c>
      <c r="C11" s="23" t="s">
        <v>458</v>
      </c>
      <c r="D11" s="23"/>
      <c r="E11" s="23"/>
      <c r="F11" s="24" t="s">
        <v>459</v>
      </c>
      <c r="G11" s="24"/>
    </row>
    <row r="12" ht="21.75" customHeight="1" spans="1:7">
      <c r="A12" s="21">
        <v>7</v>
      </c>
      <c r="B12" s="22" t="s">
        <v>460</v>
      </c>
      <c r="C12" s="25">
        <f>PL7_Luong!F15*8</f>
        <v>504427.5</v>
      </c>
      <c r="D12" s="25"/>
      <c r="E12" s="25"/>
      <c r="F12" s="24" t="s">
        <v>411</v>
      </c>
      <c r="G12" s="24"/>
    </row>
    <row r="14" ht="19.5" customHeight="1" spans="1:7">
      <c r="A14" s="19" t="s">
        <v>461</v>
      </c>
      <c r="B14" s="19"/>
      <c r="C14" s="19"/>
      <c r="D14" s="19"/>
      <c r="E14" s="19"/>
      <c r="F14" s="19"/>
      <c r="G14" s="19"/>
    </row>
    <row r="15" ht="23.25" customHeight="1" spans="1:7">
      <c r="A15" s="6" t="s">
        <v>23</v>
      </c>
      <c r="B15" s="6" t="s">
        <v>462</v>
      </c>
      <c r="C15" s="6" t="s">
        <v>463</v>
      </c>
      <c r="D15" s="6" t="s">
        <v>464</v>
      </c>
      <c r="E15" s="6" t="s">
        <v>465</v>
      </c>
      <c r="F15" s="6" t="s">
        <v>362</v>
      </c>
      <c r="G15" s="6" t="s">
        <v>28</v>
      </c>
    </row>
    <row r="16" ht="37.5" customHeight="1" spans="1:7">
      <c r="A16" s="21">
        <v>1</v>
      </c>
      <c r="B16" s="22" t="s">
        <v>466</v>
      </c>
      <c r="C16" s="26" t="s">
        <v>467</v>
      </c>
      <c r="D16" s="23">
        <v>3</v>
      </c>
      <c r="E16" s="27">
        <f t="shared" ref="E16:E21" si="0">D16*$C$12</f>
        <v>1513282.5</v>
      </c>
      <c r="F16" s="27">
        <f t="shared" ref="F16:F21" si="1">D16*E16</f>
        <v>4539847.5</v>
      </c>
      <c r="G16" s="24" t="s">
        <v>468</v>
      </c>
    </row>
    <row r="17" ht="37.5" customHeight="1" spans="1:7">
      <c r="A17" s="21">
        <v>2</v>
      </c>
      <c r="B17" s="22" t="s">
        <v>469</v>
      </c>
      <c r="C17" s="26" t="s">
        <v>470</v>
      </c>
      <c r="D17" s="23">
        <v>4</v>
      </c>
      <c r="E17" s="27">
        <f t="shared" si="0"/>
        <v>2017710</v>
      </c>
      <c r="F17" s="27">
        <f t="shared" si="1"/>
        <v>8070840</v>
      </c>
      <c r="G17" s="24" t="s">
        <v>471</v>
      </c>
    </row>
    <row r="18" ht="37.5" customHeight="1" spans="1:7">
      <c r="A18" s="21">
        <v>3</v>
      </c>
      <c r="B18" s="22" t="s">
        <v>472</v>
      </c>
      <c r="C18" s="26" t="s">
        <v>473</v>
      </c>
      <c r="D18" s="23">
        <v>2</v>
      </c>
      <c r="E18" s="27">
        <f t="shared" si="0"/>
        <v>1008855</v>
      </c>
      <c r="F18" s="27">
        <f t="shared" si="1"/>
        <v>2017710</v>
      </c>
      <c r="G18" s="24" t="s">
        <v>474</v>
      </c>
    </row>
    <row r="19" ht="37.5" customHeight="1" spans="1:7">
      <c r="A19" s="21">
        <v>4</v>
      </c>
      <c r="B19" s="22" t="s">
        <v>475</v>
      </c>
      <c r="C19" s="26" t="s">
        <v>476</v>
      </c>
      <c r="D19" s="23">
        <v>1</v>
      </c>
      <c r="E19" s="27">
        <f t="shared" si="0"/>
        <v>504427.5</v>
      </c>
      <c r="F19" s="27">
        <f t="shared" si="1"/>
        <v>504427.5</v>
      </c>
      <c r="G19" s="24" t="s">
        <v>477</v>
      </c>
    </row>
    <row r="20" ht="37.5" customHeight="1" spans="1:7">
      <c r="A20" s="21">
        <v>5</v>
      </c>
      <c r="B20" s="22" t="s">
        <v>478</v>
      </c>
      <c r="C20" s="26" t="s">
        <v>479</v>
      </c>
      <c r="D20" s="23">
        <v>1</v>
      </c>
      <c r="E20" s="27">
        <f t="shared" si="0"/>
        <v>504427.5</v>
      </c>
      <c r="F20" s="27">
        <f t="shared" si="1"/>
        <v>504427.5</v>
      </c>
      <c r="G20" s="24" t="s">
        <v>480</v>
      </c>
    </row>
    <row r="21" ht="37.5" customHeight="1" spans="1:7">
      <c r="A21" s="21">
        <v>6</v>
      </c>
      <c r="B21" s="22" t="s">
        <v>481</v>
      </c>
      <c r="C21" s="26" t="s">
        <v>482</v>
      </c>
      <c r="D21" s="23">
        <v>2</v>
      </c>
      <c r="E21" s="27">
        <f t="shared" si="0"/>
        <v>1008855</v>
      </c>
      <c r="F21" s="27">
        <f t="shared" si="1"/>
        <v>2017710</v>
      </c>
      <c r="G21" s="24" t="s">
        <v>483</v>
      </c>
    </row>
    <row r="22" ht="24.75" customHeight="1" spans="1:7">
      <c r="A22" s="21">
        <v>7</v>
      </c>
      <c r="B22" s="22" t="s">
        <v>484</v>
      </c>
      <c r="C22" s="26" t="s">
        <v>485</v>
      </c>
      <c r="D22" s="23" t="s">
        <v>405</v>
      </c>
      <c r="E22" s="23" t="s">
        <v>405</v>
      </c>
      <c r="F22" s="28">
        <v>3000000</v>
      </c>
      <c r="G22" s="24" t="s">
        <v>486</v>
      </c>
    </row>
    <row r="23" ht="21.75" customHeight="1" spans="1:7">
      <c r="A23" s="21">
        <v>8</v>
      </c>
      <c r="B23" s="22" t="s">
        <v>487</v>
      </c>
      <c r="C23" s="26" t="s">
        <v>385</v>
      </c>
      <c r="D23" s="29"/>
      <c r="E23" s="29"/>
      <c r="F23" s="27">
        <f>SUM(F16:F21)*0.65</f>
        <v>11475725.625</v>
      </c>
      <c r="G23" s="29"/>
    </row>
    <row r="24" ht="21.75" customHeight="1" spans="1:7">
      <c r="A24" s="21">
        <v>9</v>
      </c>
      <c r="B24" s="22" t="s">
        <v>432</v>
      </c>
      <c r="C24" s="26" t="s">
        <v>488</v>
      </c>
      <c r="D24" s="29"/>
      <c r="E24" s="29"/>
      <c r="F24" s="27">
        <f>(SUM(F16:F21)+F23)*0.06</f>
        <v>1747841.2875</v>
      </c>
      <c r="G24" s="29"/>
    </row>
    <row r="25" ht="25.5" customHeight="1" spans="1:7">
      <c r="A25" s="30" t="s">
        <v>489</v>
      </c>
      <c r="B25" s="30"/>
      <c r="C25" s="30"/>
      <c r="D25" s="30"/>
      <c r="E25" s="30"/>
      <c r="F25" s="31">
        <f>SUM(F16:F22)+F23+F24</f>
        <v>33878529.4125</v>
      </c>
      <c r="G25" s="31"/>
    </row>
    <row r="26" ht="21.75" customHeight="1" spans="1:7">
      <c r="A26" s="6" t="s">
        <v>490</v>
      </c>
      <c r="B26" s="6"/>
      <c r="C26" s="6"/>
      <c r="D26" s="6"/>
      <c r="E26" s="6"/>
      <c r="F26" s="18">
        <f>F25*0.1</f>
        <v>3387852.94125</v>
      </c>
      <c r="G26" s="18"/>
    </row>
    <row r="27" ht="25.5" customHeight="1" spans="1:7">
      <c r="A27" s="30" t="s">
        <v>491</v>
      </c>
      <c r="B27" s="30"/>
      <c r="C27" s="30"/>
      <c r="D27" s="30"/>
      <c r="E27" s="30"/>
      <c r="F27" s="17">
        <f>F25+F26</f>
        <v>37266382.35375</v>
      </c>
      <c r="G27" s="17"/>
    </row>
    <row r="29" ht="15" customHeight="1" spans="1:7">
      <c r="A29" s="32" t="s">
        <v>435</v>
      </c>
      <c r="B29" s="32"/>
      <c r="C29" s="32"/>
      <c r="D29" s="32"/>
      <c r="E29" s="32"/>
      <c r="F29" s="32"/>
      <c r="G29" s="32"/>
    </row>
    <row r="30" ht="19.5" customHeight="1" spans="1:7">
      <c r="A30" s="33" t="s">
        <v>492</v>
      </c>
      <c r="B30" s="33"/>
      <c r="C30" s="33"/>
      <c r="D30" s="33"/>
      <c r="E30" s="33"/>
      <c r="F30" s="33"/>
      <c r="G30" s="33"/>
    </row>
    <row r="31" ht="19.5" customHeight="1" spans="1:7">
      <c r="A31" s="33" t="s">
        <v>493</v>
      </c>
      <c r="B31" s="33"/>
      <c r="C31" s="33"/>
      <c r="D31" s="33"/>
      <c r="E31" s="33"/>
      <c r="F31" s="33"/>
      <c r="G31" s="33"/>
    </row>
    <row r="32" ht="19.5" customHeight="1" spans="1:7">
      <c r="A32" s="33" t="s">
        <v>437</v>
      </c>
      <c r="B32" s="33"/>
      <c r="C32" s="33"/>
      <c r="D32" s="33"/>
      <c r="E32" s="33"/>
      <c r="F32" s="33"/>
      <c r="G32" s="33"/>
    </row>
    <row r="33" ht="19.5" customHeight="1" spans="1:7">
      <c r="A33" s="33" t="s">
        <v>438</v>
      </c>
      <c r="B33" s="33"/>
      <c r="C33" s="33"/>
      <c r="D33" s="33"/>
      <c r="E33" s="33"/>
      <c r="F33" s="33"/>
      <c r="G33" s="33"/>
    </row>
    <row r="34" ht="19.5" customHeight="1" spans="1:7">
      <c r="A34" s="33" t="s">
        <v>494</v>
      </c>
      <c r="B34" s="33"/>
      <c r="C34" s="33"/>
      <c r="D34" s="33"/>
      <c r="E34" s="33"/>
      <c r="F34" s="33"/>
      <c r="G34" s="33"/>
    </row>
    <row r="35" ht="19.5" customHeight="1" spans="1:7">
      <c r="A35" s="33" t="s">
        <v>495</v>
      </c>
      <c r="B35" s="33"/>
      <c r="C35" s="33"/>
      <c r="D35" s="33"/>
      <c r="E35" s="33"/>
      <c r="F35" s="33"/>
      <c r="G35" s="33"/>
    </row>
  </sheetData>
  <mergeCells count="33">
    <mergeCell ref="A1:G1"/>
    <mergeCell ref="A2:G2"/>
    <mergeCell ref="A3:G3"/>
    <mergeCell ref="A4:G4"/>
    <mergeCell ref="C5:G5"/>
    <mergeCell ref="C6:E6"/>
    <mergeCell ref="F6:G6"/>
    <mergeCell ref="C7:E7"/>
    <mergeCell ref="F7:G7"/>
    <mergeCell ref="C8:E8"/>
    <mergeCell ref="F8:G8"/>
    <mergeCell ref="C9:E9"/>
    <mergeCell ref="F9:G9"/>
    <mergeCell ref="C10:E10"/>
    <mergeCell ref="F10:G10"/>
    <mergeCell ref="C11:E11"/>
    <mergeCell ref="F11:G11"/>
    <mergeCell ref="C12:E12"/>
    <mergeCell ref="F12:G12"/>
    <mergeCell ref="A14:G14"/>
    <mergeCell ref="A25:E25"/>
    <mergeCell ref="F25:G25"/>
    <mergeCell ref="A26:E26"/>
    <mergeCell ref="F26:G26"/>
    <mergeCell ref="A27:E27"/>
    <mergeCell ref="F27:G27"/>
    <mergeCell ref="A29:G29"/>
    <mergeCell ref="A30:G30"/>
    <mergeCell ref="A31:G31"/>
    <mergeCell ref="A32:G32"/>
    <mergeCell ref="A33:G33"/>
    <mergeCell ref="A34:G34"/>
    <mergeCell ref="A35:G35"/>
  </mergeCells>
  <pageMargins left="0.75" right="0.75" top="1" bottom="1" header="0.511811023622047" footer="0.511811023622047"/>
  <pageSetup paperSize="9" orientation="portrait" horizontalDpi="3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topLeftCell="A4" workbookViewId="0">
      <selection activeCell="A1" sqref="A1:G1"/>
    </sheetView>
  </sheetViews>
  <sheetFormatPr defaultColWidth="8.67592592592593" defaultRowHeight="14.4" outlineLevelCol="6"/>
  <cols>
    <col min="1" max="1" width="6" style="1" customWidth="1"/>
    <col min="2" max="2" width="42" style="1" customWidth="1"/>
    <col min="3" max="3" width="14" style="1" customWidth="1"/>
    <col min="4" max="4" width="26" style="1" customWidth="1"/>
    <col min="5" max="5" width="22" style="1" customWidth="1"/>
    <col min="6" max="6" width="16" style="1" customWidth="1"/>
    <col min="7" max="7" width="22" style="1" customWidth="1"/>
  </cols>
  <sheetData>
    <row r="1" ht="39.75" customHeight="1" spans="1:7">
      <c r="A1" s="2" t="s">
        <v>496</v>
      </c>
      <c r="B1" s="2"/>
      <c r="C1" s="2"/>
      <c r="D1" s="2"/>
      <c r="E1" s="2"/>
      <c r="F1" s="2"/>
      <c r="G1" s="2"/>
    </row>
    <row r="2" ht="19.5" customHeight="1" spans="1:7">
      <c r="A2" s="3" t="s">
        <v>497</v>
      </c>
      <c r="B2" s="3"/>
      <c r="C2" s="3"/>
      <c r="D2" s="3"/>
      <c r="E2" s="3"/>
      <c r="F2" s="3"/>
      <c r="G2" s="3"/>
    </row>
    <row r="3" ht="19.5" customHeight="1" spans="1:7">
      <c r="A3" s="4" t="s">
        <v>3</v>
      </c>
      <c r="B3" s="5" t="s">
        <v>359</v>
      </c>
      <c r="C3" s="5"/>
      <c r="D3" s="5"/>
      <c r="E3" s="4" t="s">
        <v>5</v>
      </c>
      <c r="F3" s="5" t="s">
        <v>6</v>
      </c>
      <c r="G3" s="5"/>
    </row>
    <row r="4" ht="15" customHeight="1" spans="1:7">
      <c r="A4" s="6" t="s">
        <v>498</v>
      </c>
      <c r="B4" s="6" t="s">
        <v>499</v>
      </c>
      <c r="C4" s="6" t="s">
        <v>257</v>
      </c>
      <c r="D4" s="6" t="s">
        <v>258</v>
      </c>
      <c r="E4" s="6" t="s">
        <v>500</v>
      </c>
      <c r="F4" s="6" t="s">
        <v>501</v>
      </c>
      <c r="G4" s="6" t="s">
        <v>502</v>
      </c>
    </row>
    <row r="5" ht="21.75" customHeight="1" spans="1:7">
      <c r="A5" s="7" t="s">
        <v>503</v>
      </c>
      <c r="B5" s="8" t="s">
        <v>504</v>
      </c>
      <c r="C5" s="9" t="s">
        <v>373</v>
      </c>
      <c r="D5" s="10" t="s">
        <v>505</v>
      </c>
      <c r="E5" s="9">
        <f>TONG_HOP!E12</f>
        <v>1346172648.635</v>
      </c>
      <c r="F5" s="11"/>
      <c r="G5" s="9">
        <f>E5</f>
        <v>1346172648.635</v>
      </c>
    </row>
    <row r="6" ht="21.75" customHeight="1" spans="1:7">
      <c r="A6" s="7" t="s">
        <v>506</v>
      </c>
      <c r="B6" s="8" t="s">
        <v>507</v>
      </c>
      <c r="C6" s="9" t="s">
        <v>508</v>
      </c>
      <c r="D6" s="10" t="s">
        <v>509</v>
      </c>
      <c r="E6" s="9">
        <f>E5*0.01855</f>
        <v>24971502.6321792</v>
      </c>
      <c r="F6" s="11"/>
      <c r="G6" s="9">
        <f>E6</f>
        <v>24971502.6321792</v>
      </c>
    </row>
    <row r="7" ht="21.75" customHeight="1" spans="1:7">
      <c r="A7" s="7" t="s">
        <v>510</v>
      </c>
      <c r="B7" s="8" t="s">
        <v>511</v>
      </c>
      <c r="C7" s="9" t="s">
        <v>512</v>
      </c>
      <c r="D7" s="10" t="s">
        <v>513</v>
      </c>
      <c r="E7" s="9">
        <f>SUM(E8:E11)</f>
        <v>57000684.4103139</v>
      </c>
      <c r="F7" s="11">
        <f>SUM(F8:F11)</f>
        <v>600000</v>
      </c>
      <c r="G7" s="9">
        <f>E7+F7</f>
        <v>57600684.4103139</v>
      </c>
    </row>
    <row r="8" ht="21.75" customHeight="1" spans="1:7">
      <c r="A8" s="12">
        <v>1</v>
      </c>
      <c r="B8" s="13" t="s">
        <v>514</v>
      </c>
      <c r="C8" s="14" t="s">
        <v>515</v>
      </c>
      <c r="D8" s="15" t="s">
        <v>516</v>
      </c>
      <c r="E8" s="14">
        <f>MAX(E5*0.0364,10000000)</f>
        <v>49000684.4103139</v>
      </c>
      <c r="F8" s="14"/>
      <c r="G8" s="14">
        <f>E8</f>
        <v>49000684.4103139</v>
      </c>
    </row>
    <row r="9" ht="21.75" customHeight="1" spans="1:7">
      <c r="A9" s="12">
        <v>2</v>
      </c>
      <c r="B9" s="13" t="s">
        <v>517</v>
      </c>
      <c r="C9" s="14" t="s">
        <v>518</v>
      </c>
      <c r="D9" s="15" t="s">
        <v>519</v>
      </c>
      <c r="E9" s="14">
        <f>MAX(E5*0.00085,2000000)</f>
        <v>2000000</v>
      </c>
      <c r="F9" s="14"/>
      <c r="G9" s="14">
        <f>E9</f>
        <v>2000000</v>
      </c>
    </row>
    <row r="10" ht="21.75" customHeight="1" spans="1:7">
      <c r="A10" s="12">
        <v>3</v>
      </c>
      <c r="B10" s="13" t="s">
        <v>520</v>
      </c>
      <c r="C10" s="14" t="s">
        <v>521</v>
      </c>
      <c r="D10" s="15" t="s">
        <v>522</v>
      </c>
      <c r="E10" s="14">
        <f>MAX(E5*0.002,3000000)</f>
        <v>3000000</v>
      </c>
      <c r="F10" s="14">
        <f>E10*0.1</f>
        <v>300000</v>
      </c>
      <c r="G10" s="14">
        <f>E10+F10</f>
        <v>3300000</v>
      </c>
    </row>
    <row r="11" ht="21.75" customHeight="1" spans="1:7">
      <c r="A11" s="12">
        <v>4</v>
      </c>
      <c r="B11" s="13" t="s">
        <v>523</v>
      </c>
      <c r="C11" s="14" t="s">
        <v>524</v>
      </c>
      <c r="D11" s="15" t="s">
        <v>522</v>
      </c>
      <c r="E11" s="14">
        <f>MAX(E5*0.002,3000000)</f>
        <v>3000000</v>
      </c>
      <c r="F11" s="14">
        <f>E11*0.1</f>
        <v>300000</v>
      </c>
      <c r="G11" s="14">
        <f>E11+F11</f>
        <v>3300000</v>
      </c>
    </row>
    <row r="12" ht="21.75" customHeight="1" spans="1:7">
      <c r="A12" s="7" t="s">
        <v>525</v>
      </c>
      <c r="B12" s="8" t="s">
        <v>526</v>
      </c>
      <c r="C12" s="9" t="s">
        <v>527</v>
      </c>
      <c r="D12" s="10" t="s">
        <v>528</v>
      </c>
      <c r="E12" s="9">
        <f>SUM(E13:E16)</f>
        <v>74315936.97625</v>
      </c>
      <c r="F12" s="11">
        <f>SUM(F13:F16)</f>
        <v>500000</v>
      </c>
      <c r="G12" s="9">
        <f>E12+F12</f>
        <v>74815936.97625</v>
      </c>
    </row>
    <row r="13" ht="21.75" customHeight="1" spans="1:7">
      <c r="A13" s="12">
        <v>1</v>
      </c>
      <c r="B13" s="13" t="s">
        <v>529</v>
      </c>
      <c r="C13" s="14" t="s">
        <v>530</v>
      </c>
      <c r="D13" s="15" t="s">
        <v>531</v>
      </c>
      <c r="E13" s="14">
        <f>DT_KiemThuCN!E21</f>
        <v>35437407.56375</v>
      </c>
      <c r="F13" s="14"/>
      <c r="G13" s="14">
        <f>E13</f>
        <v>35437407.56375</v>
      </c>
    </row>
    <row r="14" ht="21.75" customHeight="1" spans="1:7">
      <c r="A14" s="12">
        <v>2</v>
      </c>
      <c r="B14" s="13" t="s">
        <v>532</v>
      </c>
      <c r="C14" s="14" t="s">
        <v>533</v>
      </c>
      <c r="D14" s="15" t="s">
        <v>534</v>
      </c>
      <c r="E14" s="14">
        <f>DT_KiemThuATTT!F25</f>
        <v>33878529.4125</v>
      </c>
      <c r="F14" s="14"/>
      <c r="G14" s="14">
        <f>E14</f>
        <v>33878529.4125</v>
      </c>
    </row>
    <row r="15" ht="21.75" customHeight="1" spans="1:7">
      <c r="A15" s="12">
        <v>3</v>
      </c>
      <c r="B15" s="13" t="s">
        <v>535</v>
      </c>
      <c r="C15" s="14" t="s">
        <v>536</v>
      </c>
      <c r="D15" s="15" t="s">
        <v>537</v>
      </c>
      <c r="E15" s="14">
        <f>MAX(E5*0.001,2000000)</f>
        <v>2000000</v>
      </c>
      <c r="F15" s="14">
        <f>E15*0.1</f>
        <v>200000</v>
      </c>
      <c r="G15" s="14">
        <f>E15+F15</f>
        <v>2200000</v>
      </c>
    </row>
    <row r="16" ht="21.75" customHeight="1" spans="1:7">
      <c r="A16" s="12">
        <v>4</v>
      </c>
      <c r="B16" s="13" t="s">
        <v>538</v>
      </c>
      <c r="C16" s="14" t="s">
        <v>539</v>
      </c>
      <c r="D16" s="15" t="s">
        <v>540</v>
      </c>
      <c r="E16" s="14">
        <f>MAX(E5*0.001,3000000)</f>
        <v>3000000</v>
      </c>
      <c r="F16" s="14">
        <f>E16*0.1</f>
        <v>300000</v>
      </c>
      <c r="G16" s="14">
        <f>E16+F16</f>
        <v>3300000</v>
      </c>
    </row>
    <row r="17" ht="21.75" customHeight="1" spans="1:7">
      <c r="A17" s="7" t="s">
        <v>541</v>
      </c>
      <c r="B17" s="8" t="s">
        <v>542</v>
      </c>
      <c r="C17" s="9" t="s">
        <v>543</v>
      </c>
      <c r="D17" s="10" t="s">
        <v>544</v>
      </c>
      <c r="E17" s="9">
        <f>(E5+E6+E7+E12)*0.1</f>
        <v>150246077.265374</v>
      </c>
      <c r="F17" s="11"/>
      <c r="G17" s="9">
        <f>E17</f>
        <v>150246077.265374</v>
      </c>
    </row>
    <row r="18" ht="30" customHeight="1" spans="1:7">
      <c r="A18" s="16" t="s">
        <v>545</v>
      </c>
      <c r="B18" s="16"/>
      <c r="C18" s="16"/>
      <c r="D18" s="16"/>
      <c r="E18" s="17">
        <f>E5+E6+E7+E12+E17</f>
        <v>1652706849.91911</v>
      </c>
      <c r="F18" s="18">
        <f>SUM(F8:F11)+SUM(F13:F16)</f>
        <v>1100000</v>
      </c>
      <c r="G18" s="17">
        <f>E5+E6+G7+G12+E17</f>
        <v>1653806849.91911</v>
      </c>
    </row>
    <row r="20" ht="19.5" customHeight="1" spans="1:7">
      <c r="A20" s="19" t="s">
        <v>546</v>
      </c>
      <c r="B20" s="19"/>
      <c r="C20" s="19"/>
      <c r="D20" s="19"/>
      <c r="E20" s="19"/>
      <c r="F20" s="19"/>
      <c r="G20" s="19"/>
    </row>
    <row r="21" ht="15" customHeight="1" spans="1:7">
      <c r="A21" s="6" t="s">
        <v>171</v>
      </c>
      <c r="B21" s="6" t="s">
        <v>397</v>
      </c>
      <c r="C21" s="6" t="s">
        <v>257</v>
      </c>
      <c r="D21" s="6" t="s">
        <v>547</v>
      </c>
      <c r="E21" s="6" t="s">
        <v>380</v>
      </c>
      <c r="F21" s="6"/>
      <c r="G21" s="6"/>
    </row>
    <row r="22" ht="18" customHeight="1" spans="1:7">
      <c r="A22" s="12">
        <v>1</v>
      </c>
      <c r="B22" s="13" t="s">
        <v>507</v>
      </c>
      <c r="C22" s="12" t="s">
        <v>508</v>
      </c>
      <c r="D22" s="13" t="s">
        <v>548</v>
      </c>
      <c r="E22" s="12" t="s">
        <v>549</v>
      </c>
      <c r="F22" s="12"/>
      <c r="G22" s="12"/>
    </row>
    <row r="23" ht="18" customHeight="1" spans="1:7">
      <c r="A23" s="12">
        <v>2</v>
      </c>
      <c r="B23" s="13" t="s">
        <v>550</v>
      </c>
      <c r="C23" s="12" t="s">
        <v>515</v>
      </c>
      <c r="D23" s="13" t="s">
        <v>551</v>
      </c>
      <c r="E23" s="12" t="s">
        <v>552</v>
      </c>
      <c r="F23" s="12"/>
      <c r="G23" s="12"/>
    </row>
    <row r="24" ht="18" customHeight="1" spans="1:7">
      <c r="A24" s="12">
        <v>3</v>
      </c>
      <c r="B24" s="13" t="s">
        <v>553</v>
      </c>
      <c r="C24" s="12" t="s">
        <v>518</v>
      </c>
      <c r="D24" s="13" t="s">
        <v>551</v>
      </c>
      <c r="E24" s="12" t="s">
        <v>554</v>
      </c>
      <c r="F24" s="12"/>
      <c r="G24" s="12"/>
    </row>
    <row r="25" ht="18" customHeight="1" spans="1:7">
      <c r="A25" s="12">
        <v>4</v>
      </c>
      <c r="B25" s="13" t="s">
        <v>555</v>
      </c>
      <c r="C25" s="12" t="s">
        <v>556</v>
      </c>
      <c r="D25" s="13" t="s">
        <v>557</v>
      </c>
      <c r="E25" s="12" t="s">
        <v>558</v>
      </c>
      <c r="F25" s="12"/>
      <c r="G25" s="12"/>
    </row>
    <row r="26" ht="18" customHeight="1" spans="1:7">
      <c r="A26" s="12">
        <v>5</v>
      </c>
      <c r="B26" s="13" t="s">
        <v>559</v>
      </c>
      <c r="C26" s="12" t="s">
        <v>420</v>
      </c>
      <c r="D26" s="13" t="s">
        <v>560</v>
      </c>
      <c r="E26" s="12" t="s">
        <v>391</v>
      </c>
      <c r="F26" s="12"/>
      <c r="G26" s="12"/>
    </row>
    <row r="27" ht="18" customHeight="1" spans="1:7">
      <c r="A27" s="12">
        <v>6</v>
      </c>
      <c r="B27" s="13" t="s">
        <v>561</v>
      </c>
      <c r="C27" s="12" t="s">
        <v>543</v>
      </c>
      <c r="D27" s="13" t="s">
        <v>562</v>
      </c>
      <c r="E27" s="12" t="s">
        <v>391</v>
      </c>
      <c r="F27" s="12"/>
      <c r="G27" s="12"/>
    </row>
  </sheetData>
  <mergeCells count="13">
    <mergeCell ref="A1:G1"/>
    <mergeCell ref="A2:G2"/>
    <mergeCell ref="B3:D3"/>
    <mergeCell ref="F3:G3"/>
    <mergeCell ref="A18:D18"/>
    <mergeCell ref="A20:G20"/>
    <mergeCell ref="E21:G21"/>
    <mergeCell ref="E22:G22"/>
    <mergeCell ref="E23:G23"/>
    <mergeCell ref="E24:G24"/>
    <mergeCell ref="E25:G25"/>
    <mergeCell ref="E26:G26"/>
    <mergeCell ref="E27:G27"/>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13</vt:i4>
      </vt:variant>
    </vt:vector>
  </HeadingPairs>
  <TitlesOfParts>
    <vt:vector size="13" baseType="lpstr">
      <vt:lpstr>BIA</vt:lpstr>
      <vt:lpstr>PL1_Actors</vt:lpstr>
      <vt:lpstr>PL2_UseCase</vt:lpstr>
      <vt:lpstr>PL3_TAW</vt:lpstr>
      <vt:lpstr>PL4_TBF</vt:lpstr>
      <vt:lpstr>PL5_TCF</vt:lpstr>
      <vt:lpstr>PL6_ECF</vt:lpstr>
      <vt:lpstr>PL7_Luong</vt:lpstr>
      <vt:lpstr>PL8_ChiPhi_G</vt:lpstr>
      <vt:lpstr>TONG_HOP</vt:lpstr>
      <vt:lpstr>DT_KiemThuCN</vt:lpstr>
      <vt:lpstr>DT_KiemThuATTT</vt:lpstr>
      <vt:lpstr>TONG_DU_TOAN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cp:revision>0</cp:revision>
  <dcterms:created xsi:type="dcterms:W3CDTF">2026-04-06T03:15:00Z</dcterms:created>
  <dcterms:modified xsi:type="dcterms:W3CDTF">2026-04-07T00:22:17Z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2F4004FCCC344A0B8481D0250E0FBBB8_12</vt:lpwstr>
  </property>
  <property fmtid="{D5CDD505-2E9C-101B-9397-08002B2CF9AE}" pid="3" name="KSOProductBuildVer">
    <vt:lpwstr>1033-12.1.0.25242</vt:lpwstr>
  </property>
  <property fmtid="{D5CDD505-2E9C-101B-9397-08002B2CF9AE}" pid="4" name="CalculationRule">
    <vt:i4>0</vt:i4>
  </property>
</Properties>
</file>